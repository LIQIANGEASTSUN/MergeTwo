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95"/>
  </bookViews>
  <sheets>
    <sheet name="MergeTwoItemTemplate" sheetId="2" r:id="rId1"/>
  </sheets>
  <definedNames>
    <definedName name="_xlnm._FilterDatabase" localSheetId="0" hidden="1">MergeTwoItemTemplate!$G$1:$G$375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China</author>
  </authors>
  <commentList>
    <comment ref="H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普通：1
生成器：2
普通宝箱：3
自选宝箱：4
被动生成器：5
可使用道具：6
剪刀：10
减CD：11</t>
        </r>
      </text>
    </comment>
    <comment ref="K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拥有此等级的物品，此条合成链上的物品才可被出售</t>
        </r>
      </text>
    </comment>
    <comment ref="M1" authorId="0">
      <text>
        <r>
          <rPr>
            <b/>
            <sz val="9"/>
            <rFont val="宋体"/>
            <charset val="134"/>
          </rPr>
          <t xml:space="preserve">作者:
</t>
        </r>
        <r>
          <rPr>
            <sz val="9"/>
            <rFont val="宋体"/>
            <charset val="134"/>
          </rPr>
          <t>参数1：itemID
参数2：数量</t>
        </r>
      </text>
    </comment>
    <comment ref="N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活动结束后，道具回收
[itemID,数量]</t>
        </r>
      </text>
    </comment>
    <comment ref="Q1" authorId="0">
      <text>
        <r>
          <rPr>
            <sz val="9"/>
            <rFont val="宋体"/>
            <charset val="134"/>
          </rPr>
          <t>合到此物品时概率产出
格式：[ID，权重]
ID为-1,代表不产出</t>
        </r>
      </text>
    </comment>
    <comment ref="R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生成器产出物品后不销毁，而是变更为另—个物品
生成器会配置冷却时间为-1
</t>
        </r>
      </text>
    </comment>
    <comment ref="S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合到此物品时产生克隆气泡的概率，
数组形式，位数代表：
1：非R
2：微R(0,5]
3：小R(5,30]
4：中R(30,100]
5：大中R(100,300]
6：大R(300,1000]
7：超大R(1000+ </t>
        </r>
      </text>
    </comment>
    <comment ref="W1" authorId="1">
      <text>
        <r>
          <rPr>
            <b/>
            <sz val="9"/>
            <rFont val="宋体"/>
            <charset val="134"/>
          </rPr>
          <t>China:</t>
        </r>
        <r>
          <rPr>
            <sz val="9"/>
            <rFont val="宋体"/>
            <charset val="134"/>
          </rPr>
          <t xml:space="preserve">
空：无合成特效
1：弱合成特效
2：强合成特效</t>
        </r>
      </text>
    </comment>
  </commentList>
</comments>
</file>

<file path=xl/sharedStrings.xml><?xml version="1.0" encoding="utf-8"?>
<sst xmlns="http://schemas.openxmlformats.org/spreadsheetml/2006/main" count="1875" uniqueCount="578">
  <si>
    <t>物品ID</t>
  </si>
  <si>
    <t>#备注</t>
  </si>
  <si>
    <t>物品名称</t>
  </si>
  <si>
    <t>物品描述</t>
  </si>
  <si>
    <t>图标</t>
  </si>
  <si>
    <t>所属合成链</t>
  </si>
  <si>
    <t>物品等级</t>
  </si>
  <si>
    <t>类型</t>
  </si>
  <si>
    <t>类型参数</t>
  </si>
  <si>
    <t>合并产物</t>
  </si>
  <si>
    <t>售出要求</t>
  </si>
  <si>
    <t>商店是否售卖</t>
  </si>
  <si>
    <t>物品售价</t>
  </si>
  <si>
    <t>回收材料</t>
  </si>
  <si>
    <t>物品价值</t>
  </si>
  <si>
    <t>订单价值</t>
  </si>
  <si>
    <t>衍生物</t>
  </si>
  <si>
    <t>变更</t>
  </si>
  <si>
    <t>克隆概率（万分比）</t>
  </si>
  <si>
    <t>克隆气泡解锁价值</t>
  </si>
  <si>
    <t>获取途径</t>
  </si>
  <si>
    <t>获取途径参数</t>
  </si>
  <si>
    <t>合成特效(合到)</t>
  </si>
  <si>
    <t>id</t>
  </si>
  <si>
    <t>name</t>
  </si>
  <si>
    <t>des</t>
  </si>
  <si>
    <t>icon</t>
  </si>
  <si>
    <t>groupId</t>
  </si>
  <si>
    <t>level</t>
  </si>
  <si>
    <t>type</t>
  </si>
  <si>
    <t>type_par</t>
  </si>
  <si>
    <t>nextId</t>
  </si>
  <si>
    <t>saleRestrictions</t>
  </si>
  <si>
    <t>shopSale</t>
  </si>
  <si>
    <t>price</t>
  </si>
  <si>
    <t>recycle</t>
  </si>
  <si>
    <t>orderPrice</t>
  </si>
  <si>
    <t>derivative</t>
  </si>
  <si>
    <t>change</t>
  </si>
  <si>
    <t>clonPro</t>
  </si>
  <si>
    <t>clonValue</t>
  </si>
  <si>
    <t>getWays</t>
  </si>
  <si>
    <t>getWayParam</t>
  </si>
  <si>
    <t>mergeEffect</t>
  </si>
  <si>
    <t>string</t>
  </si>
  <si>
    <t>int</t>
  </si>
  <si>
    <t>JSONArray</t>
  </si>
  <si>
    <t>CS</t>
  </si>
  <si>
    <t>C</t>
  </si>
  <si>
    <t>菜篮-1级</t>
  </si>
  <si>
    <t/>
  </si>
  <si>
    <t>菜篮-2级</t>
  </si>
  <si>
    <t>菜篮-3级</t>
  </si>
  <si>
    <r>
      <rPr>
        <sz val="10"/>
        <color theme="1"/>
        <rFont val="微软雅黑"/>
        <charset val="134"/>
      </rPr>
      <t>菜篮-4级</t>
    </r>
    <r>
      <rPr>
        <sz val="10"/>
        <color theme="1"/>
        <rFont val="微软雅黑"/>
        <charset val="134"/>
      </rPr>
      <t>-可点击</t>
    </r>
  </si>
  <si>
    <t>[[11060101,100]]</t>
  </si>
  <si>
    <r>
      <rPr>
        <sz val="10"/>
        <color theme="1"/>
        <rFont val="微软雅黑"/>
        <charset val="134"/>
      </rPr>
      <t>菜篮-5级-可点击</t>
    </r>
  </si>
  <si>
    <r>
      <rPr>
        <sz val="10"/>
        <color theme="1"/>
        <rFont val="微软雅黑"/>
        <charset val="134"/>
      </rPr>
      <t>菜篮-6级-可点击</t>
    </r>
  </si>
  <si>
    <t>[[11060102,100]]</t>
  </si>
  <si>
    <r>
      <rPr>
        <sz val="10"/>
        <color theme="1"/>
        <rFont val="微软雅黑"/>
        <charset val="134"/>
      </rPr>
      <t>菜篮-7级-可点击</t>
    </r>
  </si>
  <si>
    <r>
      <rPr>
        <sz val="10"/>
        <color theme="1"/>
        <rFont val="微软雅黑"/>
        <charset val="134"/>
      </rPr>
      <t>菜篮-8级-可点击</t>
    </r>
  </si>
  <si>
    <r>
      <rPr>
        <sz val="10"/>
        <color theme="1"/>
        <rFont val="微软雅黑"/>
        <charset val="134"/>
      </rPr>
      <t>菜篮-9级-可点击</t>
    </r>
  </si>
  <si>
    <t>[[11060103,100]]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</si>
  <si>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1级</t>
    </r>
  </si>
  <si>
    <t>[1001,2]</t>
  </si>
  <si>
    <t>[1003,2]</t>
  </si>
  <si>
    <t>[32]</t>
  </si>
  <si>
    <t>[110201]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</si>
  <si>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2级</t>
    </r>
  </si>
  <si>
    <t>[1001,3]</t>
  </si>
  <si>
    <t>[1003,4]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</si>
  <si>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3级</t>
    </r>
  </si>
  <si>
    <t>[1001,6]</t>
  </si>
  <si>
    <t>[1003,8]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</si>
  <si>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4级</t>
    </r>
  </si>
  <si>
    <t>[1001,11]</t>
  </si>
  <si>
    <t>[1003,15]</t>
  </si>
  <si>
    <t>[1500,1500,1500,1500,1500,1500,1500]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</si>
  <si>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5级</t>
    </r>
  </si>
  <si>
    <t>[1001,21]</t>
  </si>
  <si>
    <t>[1003,30]</t>
  </si>
  <si>
    <t>[[11060201,15],[-1,85]]</t>
  </si>
  <si>
    <t>[2000,2000,2000,2000,2000,2000,2000]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</si>
  <si>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6级</t>
    </r>
  </si>
  <si>
    <t>[1001,40]</t>
  </si>
  <si>
    <t>[1003,60]</t>
  </si>
  <si>
    <t>[[11060201,20],[-1,80]]</t>
  </si>
  <si>
    <t>[2500,2500,2500,2500,2500,2500,2500]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</si>
  <si>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7级</t>
    </r>
  </si>
  <si>
    <t>[1001,75]</t>
  </si>
  <si>
    <t>[1003,120]</t>
  </si>
  <si>
    <t>[[11060201,25],[-1,75]]</t>
  </si>
  <si>
    <t>[3000,3000,3000,3000,3000,3000,3000]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</si>
  <si>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8级</t>
    </r>
  </si>
  <si>
    <t>[1001,142]</t>
  </si>
  <si>
    <t>[1003,240]</t>
  </si>
  <si>
    <t>[[11060201,35],[-1,65]]</t>
  </si>
  <si>
    <t>[3500,3500,3500,3500,3500,3500,3500]</t>
  </si>
  <si>
    <r>
      <rPr>
        <sz val="10"/>
        <color theme="1"/>
        <rFont val="微软雅黑"/>
        <charset val="134"/>
      </rPr>
      <t>汉堡-</t>
    </r>
    <r>
      <rPr>
        <sz val="10"/>
        <color theme="1"/>
        <rFont val="微软雅黑"/>
        <charset val="134"/>
      </rPr>
      <t>9级</t>
    </r>
  </si>
  <si>
    <t>[1001,272]</t>
  </si>
  <si>
    <t>[1003,480]</t>
  </si>
  <si>
    <r>
      <rPr>
        <sz val="10"/>
        <color theme="1"/>
        <rFont val="微软雅黑"/>
        <charset val="134"/>
      </rPr>
      <t>[[11060201,</t>
    </r>
    <r>
      <rPr>
        <sz val="10"/>
        <color theme="1"/>
        <rFont val="微软雅黑"/>
        <charset val="134"/>
      </rPr>
      <t>100</t>
    </r>
    <r>
      <rPr>
        <sz val="10"/>
        <color theme="1"/>
        <rFont val="微软雅黑"/>
        <charset val="134"/>
      </rPr>
      <t>]]</t>
    </r>
  </si>
  <si>
    <t>薯条-1级</t>
  </si>
  <si>
    <t>薯条-2级</t>
  </si>
  <si>
    <t>薯条-3级</t>
  </si>
  <si>
    <t>薯条-4级</t>
  </si>
  <si>
    <t>薯条-5级</t>
  </si>
  <si>
    <t>薯条-6级</t>
  </si>
  <si>
    <t>咖啡壶-1级</t>
  </si>
  <si>
    <t>咖啡壶-2级</t>
  </si>
  <si>
    <t>咖啡壶-3级</t>
  </si>
  <si>
    <t>咖啡壶-4级-可点击</t>
  </si>
  <si>
    <t>咖啡壶-5级-可点击</t>
  </si>
  <si>
    <t>咖啡壶-6级-可点击</t>
  </si>
  <si>
    <t>咖啡壶-7级-可点击</t>
  </si>
  <si>
    <t>咖啡壶-8级-可点击</t>
  </si>
  <si>
    <t>咖啡壶-9级-可点击</t>
  </si>
  <si>
    <t>咖啡-1级</t>
  </si>
  <si>
    <t>[110202]</t>
  </si>
  <si>
    <t>咖啡-2级</t>
  </si>
  <si>
    <t>咖啡-3级</t>
  </si>
  <si>
    <t>咖啡-4级</t>
  </si>
  <si>
    <t>咖啡-5级</t>
  </si>
  <si>
    <t>咖啡-6级</t>
  </si>
  <si>
    <t>咖啡-7级</t>
  </si>
  <si>
    <t>咖啡-8级</t>
  </si>
  <si>
    <t>咖啡-9级</t>
  </si>
  <si>
    <t>冰激凌-1级</t>
  </si>
  <si>
    <t>冰激凌-2级</t>
  </si>
  <si>
    <t>冰激凌-3级</t>
  </si>
  <si>
    <t>冰激凌-4级</t>
  </si>
  <si>
    <t>冰激凌-5级</t>
  </si>
  <si>
    <t>冰激凌-6级</t>
  </si>
  <si>
    <t>蜂巢-1级</t>
  </si>
  <si>
    <t>蜂巢-2级</t>
  </si>
  <si>
    <t>蜂巢-3级-可点击</t>
  </si>
  <si>
    <t>蜂巢-4级-可点击</t>
  </si>
  <si>
    <t>蜂巢-5级-可点击</t>
  </si>
  <si>
    <t>蜂巢-6级-可点击</t>
  </si>
  <si>
    <t>蜜蜂-1级</t>
  </si>
  <si>
    <t>[110203]</t>
  </si>
  <si>
    <t>蜜蜂-2级</t>
  </si>
  <si>
    <t>蜜蜂-3级</t>
  </si>
  <si>
    <t>蜜蜂-4级-可点击</t>
  </si>
  <si>
    <t>[2000,2500,3000,3500,4000,4000,4000]</t>
  </si>
  <si>
    <t>蜜-1级</t>
  </si>
  <si>
    <t>[110204,110203]</t>
  </si>
  <si>
    <t>蜜-2级</t>
  </si>
  <si>
    <t>蜜-3级</t>
  </si>
  <si>
    <t>蜜-4级</t>
  </si>
  <si>
    <t>蜜-5级</t>
  </si>
  <si>
    <t>蜜-6级</t>
  </si>
  <si>
    <t>蜜-7级</t>
  </si>
  <si>
    <t>梳妆台-1级</t>
  </si>
  <si>
    <t>梳妆台-2级</t>
  </si>
  <si>
    <t>梳妆台-3级</t>
  </si>
  <si>
    <t>梳妆台-4级-可点击</t>
  </si>
  <si>
    <t>梳妆台-5级-可点击</t>
  </si>
  <si>
    <t>梳妆台-6级-可点击</t>
  </si>
  <si>
    <t>梳妆台-7级-可点击</t>
  </si>
  <si>
    <t>梳妆台-8级-可点击</t>
  </si>
  <si>
    <t>梳妆台-9级-可点击</t>
  </si>
  <si>
    <t>首饰-1级</t>
  </si>
  <si>
    <t>[1001,1]</t>
  </si>
  <si>
    <t>[110205]</t>
  </si>
  <si>
    <t>首饰-2级</t>
  </si>
  <si>
    <t>首饰-3级</t>
  </si>
  <si>
    <t>[1001,4]</t>
  </si>
  <si>
    <t>首饰-4级</t>
  </si>
  <si>
    <t>[1001,8]</t>
  </si>
  <si>
    <t>首饰-5级</t>
  </si>
  <si>
    <t>[1001,17]</t>
  </si>
  <si>
    <t>首饰-6级</t>
  </si>
  <si>
    <t>[1001,32]</t>
  </si>
  <si>
    <t>首饰-7级</t>
  </si>
  <si>
    <t>[1001,63]</t>
  </si>
  <si>
    <t>首饰-8级</t>
  </si>
  <si>
    <t>[1001,124]</t>
  </si>
  <si>
    <t>首饰-9级</t>
  </si>
  <si>
    <t>[1001,242]</t>
  </si>
  <si>
    <t>[4000,4000,4000,4000,4000,4000,4000]</t>
  </si>
  <si>
    <r>
      <rPr>
        <sz val="10"/>
        <color theme="1"/>
        <rFont val="微软雅黑"/>
        <charset val="134"/>
      </rPr>
      <t>体力-</t>
    </r>
    <r>
      <rPr>
        <sz val="10"/>
        <color theme="1"/>
        <rFont val="微软雅黑"/>
        <charset val="134"/>
      </rPr>
      <t>1级</t>
    </r>
  </si>
  <si>
    <r>
      <rPr>
        <sz val="10"/>
        <color theme="1"/>
        <rFont val="微软雅黑"/>
        <charset val="134"/>
      </rPr>
      <t>[</t>
    </r>
    <r>
      <rPr>
        <sz val="10"/>
        <color theme="1"/>
        <rFont val="微软雅黑"/>
        <charset val="134"/>
      </rPr>
      <t>1003,10]</t>
    </r>
  </si>
  <si>
    <r>
      <rPr>
        <sz val="10"/>
        <color theme="1"/>
        <rFont val="微软雅黑"/>
        <charset val="134"/>
      </rPr>
      <t>体力-</t>
    </r>
    <r>
      <rPr>
        <sz val="10"/>
        <color theme="1"/>
        <rFont val="微软雅黑"/>
        <charset val="134"/>
      </rPr>
      <t>2级</t>
    </r>
  </si>
  <si>
    <t>[1003,25]</t>
  </si>
  <si>
    <r>
      <rPr>
        <sz val="10"/>
        <color theme="1"/>
        <rFont val="微软雅黑"/>
        <charset val="134"/>
      </rPr>
      <t>体力-</t>
    </r>
    <r>
      <rPr>
        <sz val="10"/>
        <color theme="1"/>
        <rFont val="微软雅黑"/>
        <charset val="134"/>
      </rPr>
      <t>3级</t>
    </r>
  </si>
  <si>
    <t>[1003,55]</t>
  </si>
  <si>
    <r>
      <rPr>
        <sz val="10"/>
        <color theme="1"/>
        <rFont val="微软雅黑"/>
        <charset val="134"/>
      </rPr>
      <t>体力-</t>
    </r>
    <r>
      <rPr>
        <sz val="10"/>
        <color theme="1"/>
        <rFont val="微软雅黑"/>
        <charset val="134"/>
      </rPr>
      <t>4级</t>
    </r>
  </si>
  <si>
    <t>[1003,115]</t>
  </si>
  <si>
    <r>
      <rPr>
        <sz val="10"/>
        <color theme="1"/>
        <rFont val="微软雅黑"/>
        <charset val="134"/>
      </rPr>
      <t>体力-</t>
    </r>
    <r>
      <rPr>
        <sz val="10"/>
        <color theme="1"/>
        <rFont val="微软雅黑"/>
        <charset val="134"/>
      </rPr>
      <t>5级</t>
    </r>
  </si>
  <si>
    <t>金币-1级</t>
  </si>
  <si>
    <t>[1002,100]</t>
  </si>
  <si>
    <t>金币-2级</t>
  </si>
  <si>
    <t>[1002,300]</t>
  </si>
  <si>
    <t>金币-3级</t>
  </si>
  <si>
    <t>[1002,700]</t>
  </si>
  <si>
    <t>金币-4级</t>
  </si>
  <si>
    <t>[1002,1500]</t>
  </si>
  <si>
    <t>金币-5级</t>
  </si>
  <si>
    <t>[1002,3200]</t>
  </si>
  <si>
    <t>钻石-1级</t>
  </si>
  <si>
    <t>钻石-2级</t>
  </si>
  <si>
    <t>钻石-3级</t>
  </si>
  <si>
    <t>[1001,7]</t>
  </si>
  <si>
    <t>钻石-4级</t>
  </si>
  <si>
    <t>[1001,15]</t>
  </si>
  <si>
    <t>金币宝箱</t>
  </si>
  <si>
    <t>体力宝箱</t>
  </si>
  <si>
    <t>1期综合宝箱-1级</t>
  </si>
  <si>
    <t>1期综合宝箱-2级</t>
  </si>
  <si>
    <t>首饰宝箱-1级</t>
  </si>
  <si>
    <t>首饰宝箱-2级</t>
  </si>
  <si>
    <t>1期自选宝箱-2级</t>
  </si>
  <si>
    <t>1期自选宝箱-4级</t>
  </si>
  <si>
    <t>1期自选宝箱-6级</t>
  </si>
  <si>
    <t>1期自选宝箱-8级</t>
  </si>
  <si>
    <t>烘焙道具-1级</t>
  </si>
  <si>
    <t>烘焙道具-2级</t>
  </si>
  <si>
    <t>烘焙道具-3级</t>
  </si>
  <si>
    <t>烘焙道具-4级-可点击</t>
  </si>
  <si>
    <t>烘焙道具-5级-可点击</t>
  </si>
  <si>
    <t>烘焙道具-6级-可点击</t>
  </si>
  <si>
    <t>烘焙道具-7级-可点击</t>
  </si>
  <si>
    <t>烘焙道具-8级-可点击</t>
  </si>
  <si>
    <t>烘焙道具-9级-可点击</t>
  </si>
  <si>
    <t>蛋糕-1级</t>
  </si>
  <si>
    <t>[110206]</t>
  </si>
  <si>
    <t>蛋糕-2级</t>
  </si>
  <si>
    <t>蛋糕-3级</t>
  </si>
  <si>
    <t>蛋糕-4级</t>
  </si>
  <si>
    <t>[1001,13]</t>
  </si>
  <si>
    <t>[1000,1000,1000,1000,1000,1000,1000]</t>
  </si>
  <si>
    <t>[1001,12]</t>
  </si>
  <si>
    <t>蛋糕-5级</t>
  </si>
  <si>
    <t>[1001,25]</t>
  </si>
  <si>
    <t>[1400,1400,1400,1400,1400,1400,1400]</t>
  </si>
  <si>
    <t>[1001,23]</t>
  </si>
  <si>
    <t>蛋糕-6级</t>
  </si>
  <si>
    <t>[1001,48]</t>
  </si>
  <si>
    <t>[1800,1800,1800,1800,1800,1800,1800]</t>
  </si>
  <si>
    <t>[1001,45]</t>
  </si>
  <si>
    <t>蛋糕-7级</t>
  </si>
  <si>
    <t>[1001,95]</t>
  </si>
  <si>
    <t>[2400,2400,2400,2400,2400,2400,2400]</t>
  </si>
  <si>
    <t>[1001,90]</t>
  </si>
  <si>
    <t>蛋糕-8级</t>
  </si>
  <si>
    <t>[1001,180]</t>
  </si>
  <si>
    <t>蛋糕-9级</t>
  </si>
  <si>
    <t>[1001,360]</t>
  </si>
  <si>
    <t>饼干-1级</t>
  </si>
  <si>
    <t>饼干-2级</t>
  </si>
  <si>
    <t>饼干-3级</t>
  </si>
  <si>
    <t>[1800,1800,1800,1800,2500,2500,2500]</t>
  </si>
  <si>
    <t>饼干-4级</t>
  </si>
  <si>
    <t>[2500,2500,2500,2500,3000,3000,3000]</t>
  </si>
  <si>
    <t>饼干-5级</t>
  </si>
  <si>
    <t>[3000,3000,3000,3000,4000,4000,4000]</t>
  </si>
  <si>
    <t>饼干-6级</t>
  </si>
  <si>
    <t>[4000,4000,4000,4000,5000,5000,5000]</t>
  </si>
  <si>
    <t>果篮-1级</t>
  </si>
  <si>
    <t>果篮-2级</t>
  </si>
  <si>
    <t>果篮-3级</t>
  </si>
  <si>
    <t>果篮-4级-可点击</t>
  </si>
  <si>
    <t>果篮-5级-可点击</t>
  </si>
  <si>
    <t>果篮-6级-可点击</t>
  </si>
  <si>
    <t>果篮-7级-可点击</t>
  </si>
  <si>
    <t>果篮-8级-可点击</t>
  </si>
  <si>
    <t>果篮-9级-可点击</t>
  </si>
  <si>
    <t>水果-1级</t>
  </si>
  <si>
    <t>[110207]</t>
  </si>
  <si>
    <t>水果-2级</t>
  </si>
  <si>
    <t>水果-3级</t>
  </si>
  <si>
    <t>水果-4级</t>
  </si>
  <si>
    <t>水果-5级</t>
  </si>
  <si>
    <t>水果-6级</t>
  </si>
  <si>
    <t>水果-7级</t>
  </si>
  <si>
    <t>水果-8级</t>
  </si>
  <si>
    <t>水果-9级</t>
  </si>
  <si>
    <t>果汁-1级</t>
  </si>
  <si>
    <t>果汁-2级</t>
  </si>
  <si>
    <t>果汁-3级</t>
  </si>
  <si>
    <t>果汁-4级</t>
  </si>
  <si>
    <t>果汁-5级</t>
  </si>
  <si>
    <t>果汁-6级</t>
  </si>
  <si>
    <t>渔具-1级</t>
  </si>
  <si>
    <t>渔具-2级</t>
  </si>
  <si>
    <t>渔具-3级-可点击</t>
  </si>
  <si>
    <t>渔具-4级-可点击</t>
  </si>
  <si>
    <t>渔具-5级-可点击</t>
  </si>
  <si>
    <t>渔具-6级-可点击</t>
  </si>
  <si>
    <t>渔筒-1级</t>
  </si>
  <si>
    <t>[110208]</t>
  </si>
  <si>
    <t>渔筒-2级</t>
  </si>
  <si>
    <t>渔筒-3级</t>
  </si>
  <si>
    <t>渔筒-4级-可点击</t>
  </si>
  <si>
    <t>[2000,2200,2400,2600,2800,3000,3000]</t>
  </si>
  <si>
    <t>鱼类食物-1级</t>
  </si>
  <si>
    <t>[33]</t>
  </si>
  <si>
    <t>[11020904,11020803,11020804,11020805,11020806]</t>
  </si>
  <si>
    <t>鱼类食物-2级</t>
  </si>
  <si>
    <t>鱼类食物-3级</t>
  </si>
  <si>
    <t>鱼类食物-4级</t>
  </si>
  <si>
    <t>鱼类食物-5级</t>
  </si>
  <si>
    <t>鱼类食物-6级</t>
  </si>
  <si>
    <t>鱼类食物-7级</t>
  </si>
  <si>
    <t>锅具-1级</t>
  </si>
  <si>
    <t>锅具-2级</t>
  </si>
  <si>
    <t>锅具-3级</t>
  </si>
  <si>
    <t>锅具-4级-可点击</t>
  </si>
  <si>
    <t>锅具-5级-可点击</t>
  </si>
  <si>
    <t>锅具-6级-可点击</t>
  </si>
  <si>
    <t>锅具-7级-可点击</t>
  </si>
  <si>
    <t>锅具-8级-可点击</t>
  </si>
  <si>
    <t>锅具-9级-可点击</t>
  </si>
  <si>
    <t>面条-1级</t>
  </si>
  <si>
    <t>[110210]</t>
  </si>
  <si>
    <t>面条-2级</t>
  </si>
  <si>
    <t>面条-3级</t>
  </si>
  <si>
    <t>面条-4级</t>
  </si>
  <si>
    <t>面条-5级</t>
  </si>
  <si>
    <t>面条-6级</t>
  </si>
  <si>
    <t>面条-7级</t>
  </si>
  <si>
    <t>面条-8级</t>
  </si>
  <si>
    <t>面条-9级</t>
  </si>
  <si>
    <t>索鲁贝克-综合宝箱-1级</t>
  </si>
  <si>
    <t>item_11030301</t>
  </si>
  <si>
    <t>item_desc_11030301</t>
  </si>
  <si>
    <t>索鲁贝克-综合宝箱-2级</t>
  </si>
  <si>
    <t>item_11030302</t>
  </si>
  <si>
    <t>item_desc_11030302</t>
  </si>
  <si>
    <t>面条-宝箱-1级</t>
  </si>
  <si>
    <t>item_11030601</t>
  </si>
  <si>
    <t>面条-宝箱-2级</t>
  </si>
  <si>
    <t>item_11030602</t>
  </si>
  <si>
    <t>面条-宝箱-3级</t>
  </si>
  <si>
    <t>item_11030603</t>
  </si>
  <si>
    <t>索鲁贝克-自选宝箱-2级</t>
  </si>
  <si>
    <t>item_11040101</t>
  </si>
  <si>
    <t>item_desc_11040101</t>
  </si>
  <si>
    <t>索鲁贝克-自选宝箱-4级</t>
  </si>
  <si>
    <t>item_11040102</t>
  </si>
  <si>
    <t>item_desc_11040102</t>
  </si>
  <si>
    <t>索鲁贝克-自选宝箱-6级</t>
  </si>
  <si>
    <t>item_11040103</t>
  </si>
  <si>
    <t>item_desc_11040103</t>
  </si>
  <si>
    <t>索鲁贝克-自选宝箱-8级</t>
  </si>
  <si>
    <t>item_11040104</t>
  </si>
  <si>
    <t>item_desc_11040104</t>
  </si>
  <si>
    <t>1级蛋糕生成器</t>
  </si>
  <si>
    <t>2级蛋糕生成器</t>
  </si>
  <si>
    <t>3级蛋糕生成器</t>
  </si>
  <si>
    <t>4级蛋糕生成器</t>
  </si>
  <si>
    <t>5级蛋糕生成器</t>
  </si>
  <si>
    <t>6级蛋糕生成器</t>
  </si>
  <si>
    <t>7级蛋糕生成器</t>
  </si>
  <si>
    <t>8级蛋糕生成器</t>
  </si>
  <si>
    <t>9级蛋糕生成器</t>
  </si>
  <si>
    <t>10级蛋糕生成器</t>
  </si>
  <si>
    <t>1级蛋糕</t>
  </si>
  <si>
    <t>[10401]</t>
  </si>
  <si>
    <t>2级蛋糕</t>
  </si>
  <si>
    <t>3级蛋糕</t>
  </si>
  <si>
    <t>[300,300,300,300,300,300,300]</t>
  </si>
  <si>
    <t>4级蛋糕</t>
  </si>
  <si>
    <t>5级蛋糕</t>
  </si>
  <si>
    <t>6级蛋糕</t>
  </si>
  <si>
    <t>7级蛋糕</t>
  </si>
  <si>
    <t>8级蛋糕</t>
  </si>
  <si>
    <t>[[11060201,100]]</t>
  </si>
  <si>
    <t>9级蛋糕</t>
  </si>
  <si>
    <t>[1001,47]</t>
  </si>
  <si>
    <t>10级蛋糕</t>
  </si>
  <si>
    <t>[1001,89]</t>
  </si>
  <si>
    <t>11级蛋糕</t>
  </si>
  <si>
    <t>[1001,170]</t>
  </si>
  <si>
    <t>12级蛋糕</t>
  </si>
  <si>
    <t>[1001,320]</t>
  </si>
  <si>
    <t>13级蛋糕</t>
  </si>
  <si>
    <t>[1001,610]</t>
  </si>
  <si>
    <t>14级蛋糕</t>
  </si>
  <si>
    <t>[1001,1160]</t>
  </si>
  <si>
    <t>15级蛋糕</t>
  </si>
  <si>
    <t>[1001,2210]</t>
  </si>
  <si>
    <t>1级苹果</t>
  </si>
  <si>
    <t>2级苹果</t>
  </si>
  <si>
    <t>3级苹果</t>
  </si>
  <si>
    <t>[500,500,500,500,500,500,500]</t>
  </si>
  <si>
    <t>4级苹果</t>
  </si>
  <si>
    <t>5级苹果</t>
  </si>
  <si>
    <t>[1001,14]</t>
  </si>
  <si>
    <t>1级咖啡生成器</t>
  </si>
  <si>
    <t>2级咖啡生成器</t>
  </si>
  <si>
    <t>3级咖啡生成器</t>
  </si>
  <si>
    <t>4级咖啡生成器</t>
  </si>
  <si>
    <t>5级咖啡生成器</t>
  </si>
  <si>
    <t>6级咖啡生成器</t>
  </si>
  <si>
    <t>7级咖啡生成器</t>
  </si>
  <si>
    <t>8级咖啡生成器</t>
  </si>
  <si>
    <t>9级咖啡生成器</t>
  </si>
  <si>
    <t>1级咖啡</t>
  </si>
  <si>
    <t>[10402]</t>
  </si>
  <si>
    <t>2级咖啡</t>
  </si>
  <si>
    <t>3级咖啡</t>
  </si>
  <si>
    <t>4级咖啡</t>
  </si>
  <si>
    <t>5级咖啡</t>
  </si>
  <si>
    <t>6级咖啡</t>
  </si>
  <si>
    <t>7级咖啡</t>
  </si>
  <si>
    <t>8级咖啡</t>
  </si>
  <si>
    <t>9级咖啡</t>
  </si>
  <si>
    <t>10级咖啡</t>
  </si>
  <si>
    <t>11级咖啡</t>
  </si>
  <si>
    <t>12级咖啡</t>
  </si>
  <si>
    <t>13级咖啡</t>
  </si>
  <si>
    <t>14级咖啡</t>
  </si>
  <si>
    <t>1级饮料</t>
  </si>
  <si>
    <t>2级饮料</t>
  </si>
  <si>
    <t>3级饮料</t>
  </si>
  <si>
    <t>4级饮料</t>
  </si>
  <si>
    <t>5级饮料</t>
  </si>
  <si>
    <r>
      <rPr>
        <sz val="10"/>
        <color theme="1"/>
        <rFont val="微软雅黑"/>
        <charset val="134"/>
      </rPr>
      <t>item_103040</t>
    </r>
    <r>
      <rPr>
        <sz val="10"/>
        <color theme="1"/>
        <rFont val="微软雅黑"/>
        <charset val="134"/>
      </rPr>
      <t>6</t>
    </r>
  </si>
  <si>
    <t>item_desc_1030406</t>
  </si>
  <si>
    <t>1级蜂蜜生成器</t>
  </si>
  <si>
    <t>2级蜂蜜生成器</t>
  </si>
  <si>
    <t>3级蜂蜜生成器</t>
  </si>
  <si>
    <t>4级蜂蜜生成器</t>
  </si>
  <si>
    <t>5级蜂蜜生成器</t>
  </si>
  <si>
    <t>6级蜂蜜生成器</t>
  </si>
  <si>
    <t>7级蜂蜜生成器</t>
  </si>
  <si>
    <t>8级蜂蜜生成器</t>
  </si>
  <si>
    <t>9级蜂蜜生成器</t>
  </si>
  <si>
    <t>1级蜂蜜</t>
  </si>
  <si>
    <t>[10404]</t>
  </si>
  <si>
    <t>2级蜂蜜</t>
  </si>
  <si>
    <t>[1001,5]</t>
  </si>
  <si>
    <t>3级蜂蜜</t>
  </si>
  <si>
    <t>[1001,10]</t>
  </si>
  <si>
    <t>4级蜂蜜</t>
  </si>
  <si>
    <t>[1001,18]</t>
  </si>
  <si>
    <t>5级蜂蜜</t>
  </si>
  <si>
    <t>[1001,34]</t>
  </si>
  <si>
    <t>6级蜂蜜</t>
  </si>
  <si>
    <t>[1001,65]</t>
  </si>
  <si>
    <t>1级面包框生成器</t>
  </si>
  <si>
    <t>2级面包框生成器</t>
  </si>
  <si>
    <t>3级面包框生成器</t>
  </si>
  <si>
    <t>4级面包框生成器</t>
  </si>
  <si>
    <t>5级面包框生成器</t>
  </si>
  <si>
    <t>6级面包框生成器</t>
  </si>
  <si>
    <t>7级面包框生成器</t>
  </si>
  <si>
    <t>8级面包框生成器</t>
  </si>
  <si>
    <t>9级面包框生成器</t>
  </si>
  <si>
    <t>10级面包框生成器</t>
  </si>
  <si>
    <t>1级汉堡生成器</t>
  </si>
  <si>
    <t>[10405]</t>
  </si>
  <si>
    <t>2级汉堡生成器</t>
  </si>
  <si>
    <t>3级汉堡生成器</t>
  </si>
  <si>
    <t>4级汉堡生成器</t>
  </si>
  <si>
    <t>5级汉堡生成器</t>
  </si>
  <si>
    <t>1级汉堡</t>
  </si>
  <si>
    <t>[10406]</t>
  </si>
  <si>
    <t>2级汉堡</t>
  </si>
  <si>
    <t>3级汉堡</t>
  </si>
  <si>
    <t>4级汉堡</t>
  </si>
  <si>
    <t>[1001,43]</t>
  </si>
  <si>
    <t>5级汉堡</t>
  </si>
  <si>
    <t>[1001,82]</t>
  </si>
  <si>
    <t>6级汉堡</t>
  </si>
  <si>
    <t>[1001,160]</t>
  </si>
  <si>
    <t>[800,800,800,800,800,800,800]</t>
  </si>
  <si>
    <t>7级汉堡</t>
  </si>
  <si>
    <t>[1001,300]</t>
  </si>
  <si>
    <t>8级汉堡</t>
  </si>
  <si>
    <t>[1001,560]</t>
  </si>
  <si>
    <t>9级汉堡</t>
  </si>
  <si>
    <t>[1001,1070]</t>
  </si>
  <si>
    <t>10级汉堡</t>
  </si>
  <si>
    <t>[1001,2040]</t>
  </si>
  <si>
    <t>1级书籍生成器</t>
  </si>
  <si>
    <t>2级书籍生成器</t>
  </si>
  <si>
    <t>3级书籍生成器</t>
  </si>
  <si>
    <t>4级书籍生成器</t>
  </si>
  <si>
    <t>5级书籍生成器</t>
  </si>
  <si>
    <t>6级书籍生成器</t>
  </si>
  <si>
    <t>7级书籍生成器</t>
  </si>
  <si>
    <t>8级书籍生成器</t>
  </si>
  <si>
    <t>9级书籍生成器</t>
  </si>
  <si>
    <t>10级书籍生成器</t>
  </si>
  <si>
    <t>1级书籍</t>
  </si>
  <si>
    <t>2级书籍</t>
  </si>
  <si>
    <t>3级书籍</t>
  </si>
  <si>
    <t>[10407]</t>
  </si>
  <si>
    <t>4级书籍</t>
  </si>
  <si>
    <t>5级书籍</t>
  </si>
  <si>
    <t>6级书籍</t>
  </si>
  <si>
    <t>7级书籍</t>
  </si>
  <si>
    <t>[1001,26]</t>
  </si>
  <si>
    <t>8级书籍</t>
  </si>
  <si>
    <t>[1001,50]</t>
  </si>
  <si>
    <t>9级书籍</t>
  </si>
  <si>
    <t>[1001,94]</t>
  </si>
  <si>
    <t>10级书籍</t>
  </si>
  <si>
    <t>1级玩具</t>
  </si>
  <si>
    <t>2级玩具</t>
  </si>
  <si>
    <t>3级玩具</t>
  </si>
  <si>
    <t>4级玩具</t>
  </si>
  <si>
    <t>[1001,29]</t>
  </si>
  <si>
    <t>5级玩具</t>
  </si>
  <si>
    <t>[1001,55]</t>
  </si>
  <si>
    <t>6级玩具</t>
  </si>
  <si>
    <t>[1001,100]</t>
  </si>
  <si>
    <t>7级玩具</t>
  </si>
  <si>
    <t>[1001,200]</t>
  </si>
  <si>
    <t>1级蔬菜生成器</t>
  </si>
  <si>
    <t>2级蔬菜生成器</t>
  </si>
  <si>
    <t>3级蔬菜生成器</t>
  </si>
  <si>
    <t>4级蔬菜生成器</t>
  </si>
  <si>
    <t>5级蔬菜生成器</t>
  </si>
  <si>
    <t>6级蔬菜生成器</t>
  </si>
  <si>
    <t>7级蔬菜生成器</t>
  </si>
  <si>
    <t>8级蔬菜生成器</t>
  </si>
  <si>
    <t>9级蔬菜生成器</t>
  </si>
  <si>
    <t>10级蔬菜生成器</t>
  </si>
  <si>
    <t>11级蔬菜生成器</t>
  </si>
  <si>
    <t>1级蔬菜</t>
  </si>
  <si>
    <t>[10408]</t>
  </si>
  <si>
    <t>2级蔬菜</t>
  </si>
  <si>
    <t>3级蔬菜</t>
  </si>
  <si>
    <t>4级蔬菜</t>
  </si>
  <si>
    <t>5级蔬菜</t>
  </si>
  <si>
    <t>6级蔬菜</t>
  </si>
  <si>
    <t>[1001,39]</t>
  </si>
  <si>
    <t>7级蔬菜</t>
  </si>
  <si>
    <t>[1001,74]</t>
  </si>
  <si>
    <t>8级蔬菜</t>
  </si>
  <si>
    <t>[1001,140]</t>
  </si>
  <si>
    <t>9级蔬菜</t>
  </si>
  <si>
    <t>[1001,270]</t>
  </si>
  <si>
    <t>10级蔬菜</t>
  </si>
  <si>
    <t>[1001,510]</t>
  </si>
  <si>
    <t>11级蔬菜</t>
  </si>
  <si>
    <t>[1001,970]</t>
  </si>
  <si>
    <t>12级蔬菜</t>
  </si>
  <si>
    <t>[1001,1840]</t>
  </si>
  <si>
    <t>1级BP积分</t>
  </si>
  <si>
    <t>2级BP积分</t>
  </si>
  <si>
    <t>3级BP积分</t>
  </si>
  <si>
    <t>4级BP积分</t>
  </si>
  <si>
    <t>5级BP积分</t>
  </si>
  <si>
    <t>1级体力</t>
  </si>
  <si>
    <t>[1017,1]</t>
  </si>
  <si>
    <t>2级体力</t>
  </si>
  <si>
    <t>[1017,5]</t>
  </si>
  <si>
    <t>3级体力</t>
  </si>
  <si>
    <t>[1017,15]</t>
  </si>
  <si>
    <t>4级体力</t>
  </si>
  <si>
    <t>[1017,40]</t>
  </si>
  <si>
    <t>5级体力</t>
  </si>
  <si>
    <t>[1017,100]</t>
  </si>
  <si>
    <t>1级钻石</t>
  </si>
  <si>
    <t>item_11060301</t>
  </si>
  <si>
    <t>item_desc_11060301</t>
  </si>
  <si>
    <t>2级钻石</t>
  </si>
  <si>
    <t>item_11060302</t>
  </si>
  <si>
    <t>item_desc_11060302</t>
  </si>
  <si>
    <t>3级钻石</t>
  </si>
  <si>
    <t>item_11060303</t>
  </si>
  <si>
    <t>item_desc_11060303</t>
  </si>
  <si>
    <t>4级钻石</t>
  </si>
  <si>
    <t>item_11060304</t>
  </si>
  <si>
    <t>item_desc_11060304</t>
  </si>
  <si>
    <t>5级钻石（弃用）</t>
  </si>
  <si>
    <t>BP积分宝箱</t>
  </si>
  <si>
    <t>红宝箱1</t>
  </si>
  <si>
    <t>红宝箱2</t>
  </si>
  <si>
    <t>绿宝箱1</t>
  </si>
  <si>
    <t>绿宝箱2</t>
  </si>
  <si>
    <t>新手礼包（商店免费）</t>
  </si>
  <si>
    <t>4.0-自选lv6宝箱</t>
  </si>
  <si>
    <t>4.0-自选lv8宝箱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</si>
</sst>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70702230903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12" applyNumberFormat="0" applyAlignment="0" applyProtection="0">
      <alignment vertical="center"/>
    </xf>
    <xf numFmtId="0" fontId="13" fillId="12" borderId="13" applyNumberFormat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5" fillId="13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375"/>
  <sheetViews>
    <sheetView tabSelected="1" workbookViewId="0">
      <pane xSplit="3" ySplit="4" topLeftCell="D354" activePane="bottomRight" state="frozen"/>
      <selection/>
      <selection pane="topRight"/>
      <selection pane="bottomLeft"/>
      <selection pane="bottomRight" activeCell="L323" sqref="L323"/>
    </sheetView>
  </sheetViews>
  <sheetFormatPr defaultColWidth="9" defaultRowHeight="16.5"/>
  <cols>
    <col min="1" max="1" width="12.375" style="13" customWidth="1"/>
    <col min="2" max="2" width="19.5" style="13" customWidth="1"/>
    <col min="3" max="3" width="13.625" style="13" customWidth="1"/>
    <col min="4" max="4" width="19.625" style="13" customWidth="1"/>
    <col min="5" max="5" width="20.75" style="13" customWidth="1"/>
    <col min="6" max="6" width="19.625" style="13" customWidth="1"/>
    <col min="7" max="7" width="15.125" style="13" customWidth="1"/>
    <col min="8" max="8" width="11.75" style="13" customWidth="1"/>
    <col min="9" max="9" width="14.375" style="13" customWidth="1"/>
    <col min="10" max="10" width="10.25" style="13" customWidth="1"/>
    <col min="11" max="11" width="16.625" style="13" customWidth="1"/>
    <col min="12" max="12" width="13.5" style="13" customWidth="1"/>
    <col min="13" max="14" width="12.125" style="13" customWidth="1"/>
    <col min="15" max="15" width="9" style="13"/>
    <col min="16" max="16" width="17.25" style="13" customWidth="1"/>
    <col min="17" max="17" width="31.625" style="13" customWidth="1"/>
    <col min="18" max="18" width="18.75" style="13" customWidth="1"/>
    <col min="19" max="19" width="35.75" style="13" customWidth="1"/>
    <col min="20" max="20" width="27.875" style="13" customWidth="1"/>
    <col min="21" max="22" width="23.5" style="13" customWidth="1"/>
    <col min="23" max="23" width="16.625" style="13" customWidth="1"/>
    <col min="24" max="16384" width="9" style="13"/>
  </cols>
  <sheetData>
    <row r="1" ht="21" customHeight="1" spans="1:2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9" t="s">
        <v>14</v>
      </c>
      <c r="P1" s="19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</row>
    <row r="2" spans="1:23">
      <c r="A2" s="15" t="s">
        <v>23</v>
      </c>
      <c r="B2" s="15"/>
      <c r="C2" s="15" t="s">
        <v>24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29</v>
      </c>
      <c r="I2" s="15" t="s">
        <v>30</v>
      </c>
      <c r="J2" s="15" t="s">
        <v>31</v>
      </c>
      <c r="K2" s="15" t="s">
        <v>32</v>
      </c>
      <c r="L2" s="15" t="s">
        <v>33</v>
      </c>
      <c r="M2" s="15" t="s">
        <v>34</v>
      </c>
      <c r="N2" s="15" t="s">
        <v>35</v>
      </c>
      <c r="O2" s="19"/>
      <c r="P2" s="15" t="s">
        <v>36</v>
      </c>
      <c r="Q2" s="15" t="s">
        <v>37</v>
      </c>
      <c r="R2" s="15" t="s">
        <v>38</v>
      </c>
      <c r="S2" s="15" t="s">
        <v>39</v>
      </c>
      <c r="T2" s="15" t="s">
        <v>40</v>
      </c>
      <c r="U2" s="15" t="s">
        <v>41</v>
      </c>
      <c r="V2" s="15" t="s">
        <v>42</v>
      </c>
      <c r="W2" s="15" t="s">
        <v>43</v>
      </c>
    </row>
    <row r="3" spans="1:23">
      <c r="A3" s="16" t="s">
        <v>44</v>
      </c>
      <c r="B3" s="16"/>
      <c r="C3" s="16" t="s">
        <v>44</v>
      </c>
      <c r="D3" s="16" t="s">
        <v>44</v>
      </c>
      <c r="E3" s="16" t="s">
        <v>44</v>
      </c>
      <c r="F3" s="16" t="s">
        <v>44</v>
      </c>
      <c r="G3" s="16" t="s">
        <v>45</v>
      </c>
      <c r="H3" s="16" t="s">
        <v>45</v>
      </c>
      <c r="I3" s="16" t="s">
        <v>46</v>
      </c>
      <c r="J3" s="16" t="s">
        <v>44</v>
      </c>
      <c r="K3" s="16" t="s">
        <v>45</v>
      </c>
      <c r="L3" s="16" t="s">
        <v>45</v>
      </c>
      <c r="M3" s="16" t="s">
        <v>46</v>
      </c>
      <c r="N3" s="16" t="s">
        <v>46</v>
      </c>
      <c r="O3" s="19"/>
      <c r="P3" s="16" t="s">
        <v>45</v>
      </c>
      <c r="Q3" s="16" t="s">
        <v>46</v>
      </c>
      <c r="R3" s="16" t="s">
        <v>44</v>
      </c>
      <c r="S3" s="16" t="s">
        <v>46</v>
      </c>
      <c r="T3" s="16" t="s">
        <v>46</v>
      </c>
      <c r="U3" s="16" t="s">
        <v>46</v>
      </c>
      <c r="V3" s="16" t="s">
        <v>46</v>
      </c>
      <c r="W3" s="16" t="s">
        <v>45</v>
      </c>
    </row>
    <row r="4" spans="1:23">
      <c r="A4" s="17" t="s">
        <v>47</v>
      </c>
      <c r="B4" s="17"/>
      <c r="C4" s="17" t="s">
        <v>48</v>
      </c>
      <c r="D4" s="17" t="s">
        <v>48</v>
      </c>
      <c r="E4" s="17" t="s">
        <v>48</v>
      </c>
      <c r="F4" s="17" t="s">
        <v>47</v>
      </c>
      <c r="G4" s="17" t="s">
        <v>47</v>
      </c>
      <c r="H4" s="17" t="s">
        <v>47</v>
      </c>
      <c r="I4" s="17" t="s">
        <v>47</v>
      </c>
      <c r="J4" s="17" t="s">
        <v>47</v>
      </c>
      <c r="K4" s="17" t="s">
        <v>47</v>
      </c>
      <c r="L4" s="17" t="s">
        <v>47</v>
      </c>
      <c r="M4" s="17" t="s">
        <v>47</v>
      </c>
      <c r="N4" s="17" t="s">
        <v>47</v>
      </c>
      <c r="O4" s="19"/>
      <c r="P4" s="17" t="s">
        <v>47</v>
      </c>
      <c r="Q4" s="17" t="s">
        <v>47</v>
      </c>
      <c r="R4" s="20" t="s">
        <v>47</v>
      </c>
      <c r="S4" s="17" t="s">
        <v>47</v>
      </c>
      <c r="T4" s="17" t="s">
        <v>47</v>
      </c>
      <c r="U4" s="17" t="s">
        <v>48</v>
      </c>
      <c r="V4" s="17" t="s">
        <v>48</v>
      </c>
      <c r="W4" s="17" t="s">
        <v>48</v>
      </c>
    </row>
    <row r="5" s="1" customFormat="1" spans="1:22">
      <c r="A5" s="1">
        <v>11020101</v>
      </c>
      <c r="B5" s="1" t="s">
        <v>49</v>
      </c>
      <c r="C5" s="1" t="str">
        <f>"item_"&amp;A5</f>
        <v>item_11020101</v>
      </c>
      <c r="D5" s="1" t="str">
        <f>"item_desc_"&amp;A5</f>
        <v>item_desc_11020101</v>
      </c>
      <c r="E5" s="1" t="str">
        <f>"item_"&amp;A5</f>
        <v>item_11020101</v>
      </c>
      <c r="F5" s="1" t="str">
        <f>LEFT(A5,6)</f>
        <v>110201</v>
      </c>
      <c r="G5" s="18">
        <f>IF(LEFT(A5,6)=LEFT(A4,6),G4+1,1)</f>
        <v>1</v>
      </c>
      <c r="H5" s="18">
        <v>1</v>
      </c>
      <c r="J5" s="1">
        <f>IF(A6-A5=1,A6,"")</f>
        <v>11020102</v>
      </c>
      <c r="K5" s="1">
        <f>IF(AND(H5=1,G5&lt;=5),MAX(5,G5+2),"")</f>
        <v>5</v>
      </c>
      <c r="L5" s="1" t="s">
        <v>50</v>
      </c>
      <c r="Q5" s="1" t="s">
        <v>50</v>
      </c>
      <c r="S5" s="1" t="str">
        <f>IF(AND(H5=1,G5&gt;4),1,"")</f>
        <v/>
      </c>
      <c r="T5" s="1" t="s">
        <v>50</v>
      </c>
      <c r="V5" s="1" t="s">
        <v>50</v>
      </c>
    </row>
    <row r="6" s="1" customFormat="1" spans="1:22">
      <c r="A6" s="1">
        <v>11020102</v>
      </c>
      <c r="B6" s="1" t="s">
        <v>51</v>
      </c>
      <c r="C6" s="1" t="str">
        <f t="shared" ref="C6:C23" si="0">"item_"&amp;A6</f>
        <v>item_11020102</v>
      </c>
      <c r="D6" s="1" t="str">
        <f t="shared" ref="D6:D23" si="1">"item_desc_"&amp;A6</f>
        <v>item_desc_11020102</v>
      </c>
      <c r="E6" s="1" t="str">
        <f t="shared" ref="E6:E23" si="2">"item_"&amp;A6</f>
        <v>item_11020102</v>
      </c>
      <c r="F6" s="1" t="str">
        <f t="shared" ref="F6:F14" si="3">LEFT(A6,6)</f>
        <v>110201</v>
      </c>
      <c r="G6" s="18">
        <f t="shared" ref="G6:G14" si="4">IF(LEFT(A6,6)=LEFT(A5,6),G5+1,1)</f>
        <v>2</v>
      </c>
      <c r="H6" s="18">
        <v>1</v>
      </c>
      <c r="J6" s="1">
        <f t="shared" ref="J6:J14" si="5">IF(A7-A6=1,A7,"")</f>
        <v>11020103</v>
      </c>
      <c r="K6" s="1">
        <f t="shared" ref="K6:K14" si="6">IF(AND(H6=1,G6&lt;=5),MAX(5,G6+2),"")</f>
        <v>5</v>
      </c>
      <c r="L6" s="1" t="s">
        <v>50</v>
      </c>
      <c r="S6" s="1" t="str">
        <f t="shared" ref="S6:S24" si="7">IF(AND(H6=1,G6&gt;4),1,"")</f>
        <v/>
      </c>
      <c r="T6" s="1" t="s">
        <v>50</v>
      </c>
      <c r="V6" s="1" t="s">
        <v>50</v>
      </c>
    </row>
    <row r="7" s="1" customFormat="1" spans="1:22">
      <c r="A7" s="1">
        <v>11020103</v>
      </c>
      <c r="B7" s="1" t="s">
        <v>52</v>
      </c>
      <c r="C7" s="1" t="str">
        <f t="shared" si="0"/>
        <v>item_11020103</v>
      </c>
      <c r="D7" s="1" t="str">
        <f t="shared" si="1"/>
        <v>item_desc_11020103</v>
      </c>
      <c r="E7" s="1" t="str">
        <f t="shared" si="2"/>
        <v>item_11020103</v>
      </c>
      <c r="F7" s="1" t="str">
        <f t="shared" si="3"/>
        <v>110201</v>
      </c>
      <c r="G7" s="18">
        <f t="shared" si="4"/>
        <v>3</v>
      </c>
      <c r="H7" s="18">
        <v>1</v>
      </c>
      <c r="J7" s="1">
        <f t="shared" si="5"/>
        <v>11020104</v>
      </c>
      <c r="K7" s="1">
        <f t="shared" si="6"/>
        <v>5</v>
      </c>
      <c r="L7" s="1" t="s">
        <v>50</v>
      </c>
      <c r="S7" s="1" t="str">
        <f t="shared" si="7"/>
        <v/>
      </c>
      <c r="T7" s="1" t="s">
        <v>50</v>
      </c>
      <c r="V7" s="1" t="s">
        <v>50</v>
      </c>
    </row>
    <row r="8" s="1" customFormat="1" spans="1:23">
      <c r="A8" s="1">
        <v>11020104</v>
      </c>
      <c r="B8" s="1" t="s">
        <v>53</v>
      </c>
      <c r="C8" s="1" t="str">
        <f t="shared" si="0"/>
        <v>item_11020104</v>
      </c>
      <c r="D8" s="1" t="str">
        <f t="shared" si="1"/>
        <v>item_desc_11020104</v>
      </c>
      <c r="E8" s="1" t="str">
        <f t="shared" si="2"/>
        <v>item_11020104</v>
      </c>
      <c r="F8" s="1" t="str">
        <f t="shared" si="3"/>
        <v>110201</v>
      </c>
      <c r="G8" s="18">
        <f t="shared" si="4"/>
        <v>4</v>
      </c>
      <c r="H8" s="18">
        <f t="shared" ref="H8:H14" si="8">VALUE(MID(A8,4,1))</f>
        <v>2</v>
      </c>
      <c r="J8" s="1">
        <f t="shared" si="5"/>
        <v>11020105</v>
      </c>
      <c r="K8" s="1" t="str">
        <f t="shared" si="6"/>
        <v/>
      </c>
      <c r="L8" s="1" t="s">
        <v>50</v>
      </c>
      <c r="Q8" s="1" t="s">
        <v>54</v>
      </c>
      <c r="S8" s="1" t="str">
        <f t="shared" si="7"/>
        <v/>
      </c>
      <c r="T8" s="1" t="s">
        <v>50</v>
      </c>
      <c r="V8" s="1" t="s">
        <v>50</v>
      </c>
      <c r="W8" s="1">
        <v>1</v>
      </c>
    </row>
    <row r="9" s="1" customFormat="1" spans="1:23">
      <c r="A9" s="1">
        <v>11020105</v>
      </c>
      <c r="B9" s="1" t="s">
        <v>55</v>
      </c>
      <c r="C9" s="1" t="str">
        <f t="shared" si="0"/>
        <v>item_11020105</v>
      </c>
      <c r="D9" s="1" t="str">
        <f t="shared" si="1"/>
        <v>item_desc_11020105</v>
      </c>
      <c r="E9" s="1" t="str">
        <f t="shared" si="2"/>
        <v>item_11020105</v>
      </c>
      <c r="F9" s="1" t="str">
        <f t="shared" si="3"/>
        <v>110201</v>
      </c>
      <c r="G9" s="18">
        <f t="shared" si="4"/>
        <v>5</v>
      </c>
      <c r="H9" s="18">
        <f t="shared" si="8"/>
        <v>2</v>
      </c>
      <c r="J9" s="1">
        <f t="shared" si="5"/>
        <v>11020106</v>
      </c>
      <c r="K9" s="1" t="str">
        <f t="shared" si="6"/>
        <v/>
      </c>
      <c r="L9" s="1" t="s">
        <v>50</v>
      </c>
      <c r="Q9" s="1" t="s">
        <v>54</v>
      </c>
      <c r="S9" s="1" t="str">
        <f t="shared" si="7"/>
        <v/>
      </c>
      <c r="T9" s="1" t="s">
        <v>50</v>
      </c>
      <c r="V9" s="1" t="s">
        <v>50</v>
      </c>
      <c r="W9" s="1">
        <v>1</v>
      </c>
    </row>
    <row r="10" s="1" customFormat="1" spans="1:23">
      <c r="A10" s="1">
        <v>11020106</v>
      </c>
      <c r="B10" s="1" t="s">
        <v>56</v>
      </c>
      <c r="C10" s="1" t="str">
        <f t="shared" si="0"/>
        <v>item_11020106</v>
      </c>
      <c r="D10" s="1" t="str">
        <f t="shared" si="1"/>
        <v>item_desc_11020106</v>
      </c>
      <c r="E10" s="1" t="str">
        <f t="shared" si="2"/>
        <v>item_11020106</v>
      </c>
      <c r="F10" s="1" t="str">
        <f t="shared" si="3"/>
        <v>110201</v>
      </c>
      <c r="G10" s="18">
        <f t="shared" si="4"/>
        <v>6</v>
      </c>
      <c r="H10" s="18">
        <f t="shared" si="8"/>
        <v>2</v>
      </c>
      <c r="J10" s="1">
        <f t="shared" si="5"/>
        <v>11020107</v>
      </c>
      <c r="K10" s="1" t="str">
        <f t="shared" si="6"/>
        <v/>
      </c>
      <c r="L10" s="1" t="s">
        <v>50</v>
      </c>
      <c r="Q10" s="1" t="s">
        <v>57</v>
      </c>
      <c r="S10" s="1" t="str">
        <f t="shared" si="7"/>
        <v/>
      </c>
      <c r="T10" s="1" t="s">
        <v>50</v>
      </c>
      <c r="V10" s="1" t="s">
        <v>50</v>
      </c>
      <c r="W10" s="1">
        <v>1</v>
      </c>
    </row>
    <row r="11" s="1" customFormat="1" spans="1:23">
      <c r="A11" s="1">
        <v>11020107</v>
      </c>
      <c r="B11" s="1" t="s">
        <v>58</v>
      </c>
      <c r="C11" s="1" t="str">
        <f t="shared" si="0"/>
        <v>item_11020107</v>
      </c>
      <c r="D11" s="1" t="str">
        <f t="shared" si="1"/>
        <v>item_desc_11020107</v>
      </c>
      <c r="E11" s="1" t="str">
        <f t="shared" si="2"/>
        <v>item_11020107</v>
      </c>
      <c r="F11" s="1" t="str">
        <f t="shared" si="3"/>
        <v>110201</v>
      </c>
      <c r="G11" s="18">
        <f t="shared" si="4"/>
        <v>7</v>
      </c>
      <c r="H11" s="18">
        <f t="shared" si="8"/>
        <v>2</v>
      </c>
      <c r="J11" s="1">
        <f t="shared" si="5"/>
        <v>11020108</v>
      </c>
      <c r="K11" s="1" t="str">
        <f t="shared" si="6"/>
        <v/>
      </c>
      <c r="L11" s="1" t="s">
        <v>50</v>
      </c>
      <c r="Q11" s="1" t="s">
        <v>57</v>
      </c>
      <c r="S11" s="1" t="str">
        <f t="shared" si="7"/>
        <v/>
      </c>
      <c r="T11" s="1" t="s">
        <v>50</v>
      </c>
      <c r="V11" s="1" t="s">
        <v>50</v>
      </c>
      <c r="W11" s="1">
        <v>2</v>
      </c>
    </row>
    <row r="12" spans="1:23">
      <c r="A12" s="1">
        <v>11020108</v>
      </c>
      <c r="B12" s="1" t="s">
        <v>59</v>
      </c>
      <c r="C12" s="1" t="str">
        <f t="shared" si="0"/>
        <v>item_11020108</v>
      </c>
      <c r="D12" s="1" t="str">
        <f t="shared" si="1"/>
        <v>item_desc_11020108</v>
      </c>
      <c r="E12" s="1" t="str">
        <f t="shared" si="2"/>
        <v>item_11020108</v>
      </c>
      <c r="F12" s="1" t="str">
        <f t="shared" si="3"/>
        <v>110201</v>
      </c>
      <c r="G12" s="18">
        <f t="shared" si="4"/>
        <v>8</v>
      </c>
      <c r="H12" s="18">
        <f t="shared" si="8"/>
        <v>2</v>
      </c>
      <c r="J12" s="1">
        <f t="shared" si="5"/>
        <v>11020109</v>
      </c>
      <c r="K12" s="1" t="str">
        <f t="shared" si="6"/>
        <v/>
      </c>
      <c r="L12" s="1" t="s">
        <v>50</v>
      </c>
      <c r="Q12" s="1" t="s">
        <v>57</v>
      </c>
      <c r="S12" s="13" t="str">
        <f t="shared" si="7"/>
        <v/>
      </c>
      <c r="T12" s="13" t="s">
        <v>50</v>
      </c>
      <c r="V12" s="13" t="s">
        <v>50</v>
      </c>
      <c r="W12" s="13">
        <v>2</v>
      </c>
    </row>
    <row r="13" s="2" customFormat="1" spans="1:23">
      <c r="A13" s="3">
        <v>11020109</v>
      </c>
      <c r="B13" s="3" t="s">
        <v>60</v>
      </c>
      <c r="C13" s="3" t="str">
        <f t="shared" si="0"/>
        <v>item_11020109</v>
      </c>
      <c r="D13" s="3" t="str">
        <f t="shared" si="1"/>
        <v>item_desc_11020109</v>
      </c>
      <c r="E13" s="3" t="str">
        <f t="shared" si="2"/>
        <v>item_11020109</v>
      </c>
      <c r="F13" s="3" t="str">
        <f t="shared" si="3"/>
        <v>110201</v>
      </c>
      <c r="G13" s="3">
        <f t="shared" si="4"/>
        <v>9</v>
      </c>
      <c r="H13" s="3">
        <f t="shared" si="8"/>
        <v>2</v>
      </c>
      <c r="J13" s="3" t="str">
        <f t="shared" si="5"/>
        <v/>
      </c>
      <c r="K13" s="3" t="str">
        <f t="shared" si="6"/>
        <v/>
      </c>
      <c r="L13" s="3" t="s">
        <v>50</v>
      </c>
      <c r="Q13" s="2" t="s">
        <v>61</v>
      </c>
      <c r="S13" s="2" t="str">
        <f t="shared" si="7"/>
        <v/>
      </c>
      <c r="T13" s="2" t="s">
        <v>50</v>
      </c>
      <c r="V13" s="2" t="s">
        <v>50</v>
      </c>
      <c r="W13" s="2">
        <v>2</v>
      </c>
    </row>
    <row r="14" spans="1:22">
      <c r="A14" s="1">
        <v>11010101</v>
      </c>
      <c r="B14" s="13" t="s">
        <v>62</v>
      </c>
      <c r="C14" s="1" t="str">
        <f t="shared" si="0"/>
        <v>item_11010101</v>
      </c>
      <c r="D14" s="1" t="str">
        <f t="shared" si="1"/>
        <v>item_desc_11010101</v>
      </c>
      <c r="E14" s="1" t="str">
        <f t="shared" si="2"/>
        <v>item_11010101</v>
      </c>
      <c r="F14" s="1" t="str">
        <f t="shared" si="3"/>
        <v>110101</v>
      </c>
      <c r="G14" s="18">
        <f t="shared" si="4"/>
        <v>1</v>
      </c>
      <c r="H14" s="18">
        <f t="shared" si="8"/>
        <v>1</v>
      </c>
      <c r="I14" s="1"/>
      <c r="J14" s="1">
        <f t="shared" si="5"/>
        <v>11010102</v>
      </c>
      <c r="K14" s="1">
        <f t="shared" si="6"/>
        <v>5</v>
      </c>
      <c r="L14" s="1" t="s">
        <v>50</v>
      </c>
      <c r="M14" s="13" t="s">
        <v>63</v>
      </c>
      <c r="N14" s="13" t="s">
        <v>64</v>
      </c>
      <c r="Q14" s="13" t="s">
        <v>50</v>
      </c>
      <c r="S14" s="13" t="str">
        <f t="shared" si="7"/>
        <v/>
      </c>
      <c r="T14" s="13" t="s">
        <v>50</v>
      </c>
      <c r="U14" s="13" t="s">
        <v>65</v>
      </c>
      <c r="V14" s="13" t="s">
        <v>66</v>
      </c>
    </row>
    <row r="15" spans="1:22">
      <c r="A15" s="1">
        <v>11010102</v>
      </c>
      <c r="B15" s="13" t="s">
        <v>67</v>
      </c>
      <c r="C15" s="1" t="str">
        <f t="shared" si="0"/>
        <v>item_11010102</v>
      </c>
      <c r="D15" s="1" t="str">
        <f t="shared" si="1"/>
        <v>item_desc_11010102</v>
      </c>
      <c r="E15" s="1" t="str">
        <f t="shared" si="2"/>
        <v>item_11010102</v>
      </c>
      <c r="F15" s="1" t="str">
        <f t="shared" ref="F15:F19" si="9">LEFT(A15,6)</f>
        <v>110101</v>
      </c>
      <c r="G15" s="18">
        <f t="shared" ref="G15:G19" si="10">IF(LEFT(A15,6)=LEFT(A14,6),G14+1,1)</f>
        <v>2</v>
      </c>
      <c r="H15" s="18">
        <f t="shared" ref="H15:H23" si="11">VALUE(MID(A15,4,1))</f>
        <v>1</v>
      </c>
      <c r="I15" s="1"/>
      <c r="J15" s="1">
        <f t="shared" ref="J15:J23" si="12">IF(A16-A15=1,A16,"")</f>
        <v>11010103</v>
      </c>
      <c r="K15" s="1">
        <f t="shared" ref="K15:K23" si="13">IF(AND(H15=1,G15&lt;=5),MAX(5,G15+2),"")</f>
        <v>5</v>
      </c>
      <c r="L15" s="1" t="s">
        <v>50</v>
      </c>
      <c r="M15" s="13" t="s">
        <v>68</v>
      </c>
      <c r="N15" s="13" t="s">
        <v>69</v>
      </c>
      <c r="Q15" s="13" t="s">
        <v>50</v>
      </c>
      <c r="S15" s="13" t="str">
        <f t="shared" si="7"/>
        <v/>
      </c>
      <c r="T15" s="13" t="s">
        <v>50</v>
      </c>
      <c r="U15" s="13" t="s">
        <v>65</v>
      </c>
      <c r="V15" s="13" t="s">
        <v>66</v>
      </c>
    </row>
    <row r="16" spans="1:22">
      <c r="A16" s="1">
        <v>11010103</v>
      </c>
      <c r="B16" s="13" t="s">
        <v>70</v>
      </c>
      <c r="C16" s="1" t="str">
        <f t="shared" si="0"/>
        <v>item_11010103</v>
      </c>
      <c r="D16" s="1" t="str">
        <f t="shared" si="1"/>
        <v>item_desc_11010103</v>
      </c>
      <c r="E16" s="1" t="str">
        <f t="shared" si="2"/>
        <v>item_11010103</v>
      </c>
      <c r="F16" s="1" t="str">
        <f t="shared" si="9"/>
        <v>110101</v>
      </c>
      <c r="G16" s="18">
        <f t="shared" si="10"/>
        <v>3</v>
      </c>
      <c r="H16" s="18">
        <f t="shared" si="11"/>
        <v>1</v>
      </c>
      <c r="I16" s="1"/>
      <c r="J16" s="1">
        <f t="shared" si="12"/>
        <v>11010104</v>
      </c>
      <c r="K16" s="1">
        <f t="shared" si="13"/>
        <v>5</v>
      </c>
      <c r="L16" s="1" t="s">
        <v>50</v>
      </c>
      <c r="M16" s="13" t="s">
        <v>71</v>
      </c>
      <c r="N16" s="13" t="s">
        <v>72</v>
      </c>
      <c r="Q16" s="13" t="s">
        <v>50</v>
      </c>
      <c r="S16" s="13" t="str">
        <f t="shared" si="7"/>
        <v/>
      </c>
      <c r="T16" s="13" t="s">
        <v>50</v>
      </c>
      <c r="U16" s="13" t="s">
        <v>65</v>
      </c>
      <c r="V16" s="13" t="s">
        <v>66</v>
      </c>
    </row>
    <row r="17" spans="1:23">
      <c r="A17" s="1">
        <v>11010104</v>
      </c>
      <c r="B17" s="13" t="s">
        <v>73</v>
      </c>
      <c r="C17" s="1" t="str">
        <f t="shared" si="0"/>
        <v>item_11010104</v>
      </c>
      <c r="D17" s="1" t="str">
        <f t="shared" si="1"/>
        <v>item_desc_11010104</v>
      </c>
      <c r="E17" s="1" t="str">
        <f t="shared" si="2"/>
        <v>item_11010104</v>
      </c>
      <c r="F17" s="1" t="str">
        <f t="shared" si="9"/>
        <v>110101</v>
      </c>
      <c r="G17" s="18">
        <f t="shared" si="10"/>
        <v>4</v>
      </c>
      <c r="H17" s="18">
        <f t="shared" si="11"/>
        <v>1</v>
      </c>
      <c r="I17" s="1"/>
      <c r="J17" s="1">
        <f t="shared" si="12"/>
        <v>11010105</v>
      </c>
      <c r="K17" s="1">
        <f t="shared" si="13"/>
        <v>6</v>
      </c>
      <c r="L17" s="1">
        <v>1</v>
      </c>
      <c r="M17" s="13" t="s">
        <v>74</v>
      </c>
      <c r="N17" s="13" t="s">
        <v>75</v>
      </c>
      <c r="S17" s="13" t="s">
        <v>76</v>
      </c>
      <c r="T17" s="13" t="s">
        <v>74</v>
      </c>
      <c r="U17" s="13" t="s">
        <v>65</v>
      </c>
      <c r="V17" s="13" t="s">
        <v>66</v>
      </c>
      <c r="W17" s="13">
        <v>1</v>
      </c>
    </row>
    <row r="18" spans="1:23">
      <c r="A18" s="1">
        <v>11010105</v>
      </c>
      <c r="B18" s="13" t="s">
        <v>77</v>
      </c>
      <c r="C18" s="1" t="str">
        <f t="shared" si="0"/>
        <v>item_11010105</v>
      </c>
      <c r="D18" s="1" t="str">
        <f t="shared" si="1"/>
        <v>item_desc_11010105</v>
      </c>
      <c r="E18" s="1" t="str">
        <f t="shared" si="2"/>
        <v>item_11010105</v>
      </c>
      <c r="F18" s="1" t="str">
        <f t="shared" si="9"/>
        <v>110101</v>
      </c>
      <c r="G18" s="18">
        <f t="shared" si="10"/>
        <v>5</v>
      </c>
      <c r="H18" s="18">
        <f t="shared" si="11"/>
        <v>1</v>
      </c>
      <c r="I18" s="1"/>
      <c r="J18" s="1">
        <f t="shared" si="12"/>
        <v>11010106</v>
      </c>
      <c r="K18" s="1">
        <f t="shared" si="13"/>
        <v>7</v>
      </c>
      <c r="L18" s="1">
        <v>1</v>
      </c>
      <c r="M18" s="13" t="s">
        <v>78</v>
      </c>
      <c r="N18" s="13" t="s">
        <v>79</v>
      </c>
      <c r="Q18" s="13" t="s">
        <v>80</v>
      </c>
      <c r="S18" s="13" t="s">
        <v>81</v>
      </c>
      <c r="T18" s="13" t="s">
        <v>78</v>
      </c>
      <c r="U18" s="13" t="s">
        <v>65</v>
      </c>
      <c r="V18" s="13" t="s">
        <v>66</v>
      </c>
      <c r="W18" s="13">
        <v>1</v>
      </c>
    </row>
    <row r="19" spans="1:23">
      <c r="A19" s="1">
        <v>11010106</v>
      </c>
      <c r="B19" s="13" t="s">
        <v>82</v>
      </c>
      <c r="C19" s="1" t="str">
        <f t="shared" si="0"/>
        <v>item_11010106</v>
      </c>
      <c r="D19" s="1" t="str">
        <f t="shared" si="1"/>
        <v>item_desc_11010106</v>
      </c>
      <c r="E19" s="1" t="str">
        <f t="shared" si="2"/>
        <v>item_11010106</v>
      </c>
      <c r="F19" s="1" t="str">
        <f t="shared" si="9"/>
        <v>110101</v>
      </c>
      <c r="G19" s="18">
        <f t="shared" si="10"/>
        <v>6</v>
      </c>
      <c r="H19" s="18">
        <f t="shared" si="11"/>
        <v>1</v>
      </c>
      <c r="I19" s="1"/>
      <c r="J19" s="1">
        <f t="shared" si="12"/>
        <v>11010107</v>
      </c>
      <c r="K19" s="1" t="str">
        <f t="shared" si="13"/>
        <v/>
      </c>
      <c r="L19" s="1" t="s">
        <v>50</v>
      </c>
      <c r="M19" s="13" t="s">
        <v>83</v>
      </c>
      <c r="N19" s="13" t="s">
        <v>84</v>
      </c>
      <c r="Q19" s="13" t="s">
        <v>85</v>
      </c>
      <c r="S19" s="13" t="s">
        <v>86</v>
      </c>
      <c r="T19" s="13" t="s">
        <v>83</v>
      </c>
      <c r="U19" s="13" t="s">
        <v>65</v>
      </c>
      <c r="V19" s="13" t="s">
        <v>66</v>
      </c>
      <c r="W19" s="13">
        <v>1</v>
      </c>
    </row>
    <row r="20" spans="1:23">
      <c r="A20" s="1">
        <v>11010107</v>
      </c>
      <c r="B20" s="13" t="s">
        <v>87</v>
      </c>
      <c r="C20" s="1" t="str">
        <f t="shared" si="0"/>
        <v>item_11010107</v>
      </c>
      <c r="D20" s="1" t="str">
        <f t="shared" si="1"/>
        <v>item_desc_11010107</v>
      </c>
      <c r="E20" s="1" t="str">
        <f t="shared" si="2"/>
        <v>item_11010107</v>
      </c>
      <c r="F20" s="1" t="str">
        <f t="shared" ref="F20:F23" si="14">LEFT(A20,6)</f>
        <v>110101</v>
      </c>
      <c r="G20" s="18">
        <f t="shared" ref="G20:G23" si="15">IF(LEFT(A20,6)=LEFT(A19,6),G19+1,1)</f>
        <v>7</v>
      </c>
      <c r="H20" s="18">
        <f t="shared" si="11"/>
        <v>1</v>
      </c>
      <c r="I20" s="1"/>
      <c r="J20" s="1">
        <f t="shared" si="12"/>
        <v>11010108</v>
      </c>
      <c r="K20" s="1" t="str">
        <f t="shared" si="13"/>
        <v/>
      </c>
      <c r="L20" s="1" t="s">
        <v>50</v>
      </c>
      <c r="M20" s="13" t="s">
        <v>88</v>
      </c>
      <c r="N20" s="13" t="s">
        <v>89</v>
      </c>
      <c r="Q20" s="13" t="s">
        <v>90</v>
      </c>
      <c r="S20" s="13" t="s">
        <v>91</v>
      </c>
      <c r="T20" s="13" t="s">
        <v>88</v>
      </c>
      <c r="U20" s="13" t="s">
        <v>65</v>
      </c>
      <c r="V20" s="13" t="s">
        <v>66</v>
      </c>
      <c r="W20" s="13">
        <v>2</v>
      </c>
    </row>
    <row r="21" spans="1:23">
      <c r="A21" s="1">
        <v>11010108</v>
      </c>
      <c r="B21" s="13" t="s">
        <v>92</v>
      </c>
      <c r="C21" s="1" t="str">
        <f t="shared" si="0"/>
        <v>item_11010108</v>
      </c>
      <c r="D21" s="1" t="str">
        <f t="shared" si="1"/>
        <v>item_desc_11010108</v>
      </c>
      <c r="E21" s="1" t="str">
        <f t="shared" si="2"/>
        <v>item_11010108</v>
      </c>
      <c r="F21" s="1" t="str">
        <f t="shared" si="14"/>
        <v>110101</v>
      </c>
      <c r="G21" s="18">
        <f t="shared" si="15"/>
        <v>8</v>
      </c>
      <c r="H21" s="18">
        <f t="shared" si="11"/>
        <v>1</v>
      </c>
      <c r="J21" s="1">
        <f t="shared" si="12"/>
        <v>11010109</v>
      </c>
      <c r="K21" s="1" t="str">
        <f t="shared" si="13"/>
        <v/>
      </c>
      <c r="L21" s="1" t="s">
        <v>50</v>
      </c>
      <c r="M21" s="13" t="s">
        <v>93</v>
      </c>
      <c r="N21" s="13" t="s">
        <v>94</v>
      </c>
      <c r="Q21" s="13" t="s">
        <v>95</v>
      </c>
      <c r="S21" s="13" t="s">
        <v>96</v>
      </c>
      <c r="T21" s="13" t="s">
        <v>93</v>
      </c>
      <c r="U21" s="13" t="s">
        <v>65</v>
      </c>
      <c r="V21" s="13" t="s">
        <v>66</v>
      </c>
      <c r="W21" s="13">
        <v>2</v>
      </c>
    </row>
    <row r="22" s="2" customFormat="1" spans="1:23">
      <c r="A22" s="3">
        <v>11010109</v>
      </c>
      <c r="B22" s="2" t="s">
        <v>97</v>
      </c>
      <c r="C22" s="3" t="str">
        <f t="shared" si="0"/>
        <v>item_11010109</v>
      </c>
      <c r="D22" s="3" t="str">
        <f t="shared" si="1"/>
        <v>item_desc_11010109</v>
      </c>
      <c r="E22" s="3" t="str">
        <f t="shared" si="2"/>
        <v>item_11010109</v>
      </c>
      <c r="F22" s="3" t="str">
        <f t="shared" si="14"/>
        <v>110101</v>
      </c>
      <c r="G22" s="3">
        <f t="shared" si="15"/>
        <v>9</v>
      </c>
      <c r="H22" s="3">
        <f t="shared" si="11"/>
        <v>1</v>
      </c>
      <c r="J22" s="3" t="str">
        <f t="shared" si="12"/>
        <v/>
      </c>
      <c r="K22" s="3" t="str">
        <f t="shared" si="13"/>
        <v/>
      </c>
      <c r="L22" s="3" t="s">
        <v>50</v>
      </c>
      <c r="M22" s="2" t="s">
        <v>98</v>
      </c>
      <c r="N22" s="2" t="s">
        <v>99</v>
      </c>
      <c r="Q22" s="2" t="s">
        <v>100</v>
      </c>
      <c r="S22" s="2" t="s">
        <v>96</v>
      </c>
      <c r="T22" s="2" t="s">
        <v>98</v>
      </c>
      <c r="U22" s="2" t="s">
        <v>65</v>
      </c>
      <c r="V22" s="2" t="s">
        <v>66</v>
      </c>
      <c r="W22" s="2">
        <v>2</v>
      </c>
    </row>
    <row r="23" spans="1:22">
      <c r="A23" s="1">
        <v>11010201</v>
      </c>
      <c r="B23" s="13" t="s">
        <v>101</v>
      </c>
      <c r="C23" s="1" t="str">
        <f t="shared" si="0"/>
        <v>item_11010201</v>
      </c>
      <c r="D23" s="1" t="str">
        <f t="shared" si="1"/>
        <v>item_desc_11010201</v>
      </c>
      <c r="E23" s="1" t="str">
        <f t="shared" si="2"/>
        <v>item_11010201</v>
      </c>
      <c r="F23" s="1" t="str">
        <f t="shared" si="14"/>
        <v>110102</v>
      </c>
      <c r="G23" s="18">
        <f t="shared" si="15"/>
        <v>1</v>
      </c>
      <c r="H23" s="18">
        <f t="shared" si="11"/>
        <v>1</v>
      </c>
      <c r="I23" s="1"/>
      <c r="J23" s="1">
        <f t="shared" si="12"/>
        <v>11010202</v>
      </c>
      <c r="K23" s="1">
        <f t="shared" si="13"/>
        <v>5</v>
      </c>
      <c r="L23" s="1" t="s">
        <v>50</v>
      </c>
      <c r="M23" s="13" t="s">
        <v>68</v>
      </c>
      <c r="N23" s="13" t="s">
        <v>64</v>
      </c>
      <c r="Q23" s="13" t="s">
        <v>50</v>
      </c>
      <c r="S23" s="13" t="str">
        <f t="shared" si="7"/>
        <v/>
      </c>
      <c r="T23" s="13" t="s">
        <v>50</v>
      </c>
      <c r="U23" s="13" t="s">
        <v>65</v>
      </c>
      <c r="V23" s="13" t="s">
        <v>66</v>
      </c>
    </row>
    <row r="24" spans="1:22">
      <c r="A24" s="1">
        <v>11010202</v>
      </c>
      <c r="B24" s="13" t="s">
        <v>102</v>
      </c>
      <c r="C24" s="1" t="str">
        <f t="shared" ref="C24:C29" si="16">"item_"&amp;A24</f>
        <v>item_11010202</v>
      </c>
      <c r="D24" s="1" t="str">
        <f t="shared" ref="D24:D29" si="17">"item_desc_"&amp;A24</f>
        <v>item_desc_11010202</v>
      </c>
      <c r="E24" s="1" t="str">
        <f t="shared" ref="E24:E29" si="18">"item_"&amp;A24</f>
        <v>item_11010202</v>
      </c>
      <c r="F24" s="1" t="str">
        <f t="shared" ref="F24:F29" si="19">LEFT(A24,6)</f>
        <v>110102</v>
      </c>
      <c r="G24" s="18">
        <f t="shared" ref="G24:G29" si="20">IF(LEFT(A24,6)=LEFT(A23,6),G23+1,1)</f>
        <v>2</v>
      </c>
      <c r="H24" s="18">
        <f t="shared" ref="H24:H28" si="21">VALUE(MID(A24,4,1))</f>
        <v>1</v>
      </c>
      <c r="I24" s="1"/>
      <c r="J24" s="1">
        <f t="shared" ref="J24:J29" si="22">IF(A25-A24=1,A25,"")</f>
        <v>11010203</v>
      </c>
      <c r="K24" s="1">
        <f t="shared" ref="K24:K29" si="23">IF(AND(H24=1,G24&lt;=5),MAX(5,G24+2),"")</f>
        <v>5</v>
      </c>
      <c r="L24" s="1" t="s">
        <v>50</v>
      </c>
      <c r="M24" s="13" t="s">
        <v>71</v>
      </c>
      <c r="N24" s="13" t="s">
        <v>69</v>
      </c>
      <c r="Q24" s="13" t="s">
        <v>50</v>
      </c>
      <c r="S24" s="13" t="str">
        <f t="shared" si="7"/>
        <v/>
      </c>
      <c r="T24" s="13" t="s">
        <v>50</v>
      </c>
      <c r="U24" s="13" t="s">
        <v>65</v>
      </c>
      <c r="V24" s="13" t="s">
        <v>66</v>
      </c>
    </row>
    <row r="25" spans="1:23">
      <c r="A25" s="1">
        <v>11010203</v>
      </c>
      <c r="B25" s="13" t="s">
        <v>103</v>
      </c>
      <c r="C25" s="1" t="str">
        <f t="shared" si="16"/>
        <v>item_11010203</v>
      </c>
      <c r="D25" s="1" t="str">
        <f t="shared" si="17"/>
        <v>item_desc_11010203</v>
      </c>
      <c r="E25" s="1" t="str">
        <f t="shared" si="18"/>
        <v>item_11010203</v>
      </c>
      <c r="F25" s="1" t="str">
        <f t="shared" si="19"/>
        <v>110102</v>
      </c>
      <c r="G25" s="18">
        <f t="shared" si="20"/>
        <v>3</v>
      </c>
      <c r="H25" s="18">
        <f t="shared" si="21"/>
        <v>1</v>
      </c>
      <c r="I25" s="1"/>
      <c r="J25" s="1">
        <f t="shared" si="22"/>
        <v>11010204</v>
      </c>
      <c r="K25" s="1">
        <f t="shared" si="23"/>
        <v>5</v>
      </c>
      <c r="L25" s="1">
        <v>1</v>
      </c>
      <c r="M25" s="13" t="s">
        <v>74</v>
      </c>
      <c r="N25" s="13" t="s">
        <v>72</v>
      </c>
      <c r="Q25" s="13" t="s">
        <v>50</v>
      </c>
      <c r="S25" s="13" t="s">
        <v>81</v>
      </c>
      <c r="T25" s="13" t="s">
        <v>74</v>
      </c>
      <c r="U25" s="13" t="s">
        <v>65</v>
      </c>
      <c r="V25" s="13" t="s">
        <v>66</v>
      </c>
      <c r="W25" s="13">
        <v>1</v>
      </c>
    </row>
    <row r="26" spans="1:23">
      <c r="A26" s="1">
        <v>11010204</v>
      </c>
      <c r="B26" s="13" t="s">
        <v>104</v>
      </c>
      <c r="C26" s="1" t="str">
        <f t="shared" si="16"/>
        <v>item_11010204</v>
      </c>
      <c r="D26" s="1" t="str">
        <f t="shared" si="17"/>
        <v>item_desc_11010204</v>
      </c>
      <c r="E26" s="1" t="str">
        <f t="shared" si="18"/>
        <v>item_11010204</v>
      </c>
      <c r="F26" s="1" t="str">
        <f t="shared" si="19"/>
        <v>110102</v>
      </c>
      <c r="G26" s="18">
        <f t="shared" si="20"/>
        <v>4</v>
      </c>
      <c r="H26" s="18">
        <f t="shared" si="21"/>
        <v>1</v>
      </c>
      <c r="I26" s="1"/>
      <c r="J26" s="1">
        <f t="shared" si="22"/>
        <v>11010205</v>
      </c>
      <c r="K26" s="1">
        <f t="shared" si="23"/>
        <v>6</v>
      </c>
      <c r="L26" s="1">
        <v>1</v>
      </c>
      <c r="M26" s="13" t="s">
        <v>78</v>
      </c>
      <c r="N26" s="13" t="s">
        <v>75</v>
      </c>
      <c r="Q26" s="13" t="s">
        <v>90</v>
      </c>
      <c r="S26" s="13" t="s">
        <v>86</v>
      </c>
      <c r="T26" s="13" t="s">
        <v>78</v>
      </c>
      <c r="U26" s="13" t="s">
        <v>65</v>
      </c>
      <c r="V26" s="13" t="s">
        <v>66</v>
      </c>
      <c r="W26" s="13">
        <v>1</v>
      </c>
    </row>
    <row r="27" spans="1:23">
      <c r="A27" s="1">
        <v>11010205</v>
      </c>
      <c r="B27" s="13" t="s">
        <v>105</v>
      </c>
      <c r="C27" s="1" t="str">
        <f t="shared" si="16"/>
        <v>item_11010205</v>
      </c>
      <c r="D27" s="1" t="str">
        <f t="shared" si="17"/>
        <v>item_desc_11010205</v>
      </c>
      <c r="E27" s="1" t="str">
        <f t="shared" si="18"/>
        <v>item_11010205</v>
      </c>
      <c r="F27" s="1" t="str">
        <f t="shared" si="19"/>
        <v>110102</v>
      </c>
      <c r="G27" s="18">
        <f t="shared" si="20"/>
        <v>5</v>
      </c>
      <c r="H27" s="18">
        <f t="shared" si="21"/>
        <v>1</v>
      </c>
      <c r="I27" s="1"/>
      <c r="J27" s="1">
        <f t="shared" si="22"/>
        <v>11010206</v>
      </c>
      <c r="K27" s="1">
        <f t="shared" si="23"/>
        <v>7</v>
      </c>
      <c r="L27" s="1">
        <v>1</v>
      </c>
      <c r="M27" s="13" t="s">
        <v>83</v>
      </c>
      <c r="N27" s="13" t="s">
        <v>79</v>
      </c>
      <c r="Q27" s="13" t="s">
        <v>95</v>
      </c>
      <c r="S27" s="13" t="s">
        <v>91</v>
      </c>
      <c r="T27" s="13" t="s">
        <v>83</v>
      </c>
      <c r="U27" s="13" t="s">
        <v>65</v>
      </c>
      <c r="V27" s="13" t="s">
        <v>66</v>
      </c>
      <c r="W27" s="13">
        <v>2</v>
      </c>
    </row>
    <row r="28" s="2" customFormat="1" spans="1:23">
      <c r="A28" s="3">
        <v>11010206</v>
      </c>
      <c r="B28" s="2" t="s">
        <v>106</v>
      </c>
      <c r="C28" s="3" t="str">
        <f t="shared" si="16"/>
        <v>item_11010206</v>
      </c>
      <c r="D28" s="3" t="str">
        <f t="shared" si="17"/>
        <v>item_desc_11010206</v>
      </c>
      <c r="E28" s="3" t="str">
        <f t="shared" si="18"/>
        <v>item_11010206</v>
      </c>
      <c r="F28" s="3" t="str">
        <f t="shared" si="19"/>
        <v>110102</v>
      </c>
      <c r="G28" s="3">
        <f t="shared" si="20"/>
        <v>6</v>
      </c>
      <c r="H28" s="3">
        <f t="shared" si="21"/>
        <v>1</v>
      </c>
      <c r="I28" s="3"/>
      <c r="J28" s="3" t="str">
        <f t="shared" si="22"/>
        <v/>
      </c>
      <c r="K28" s="3" t="str">
        <f t="shared" si="23"/>
        <v/>
      </c>
      <c r="L28" s="3" t="s">
        <v>50</v>
      </c>
      <c r="M28" s="2" t="s">
        <v>88</v>
      </c>
      <c r="N28" s="2" t="s">
        <v>84</v>
      </c>
      <c r="Q28" s="2" t="s">
        <v>100</v>
      </c>
      <c r="S28" s="2" t="s">
        <v>96</v>
      </c>
      <c r="T28" s="2" t="s">
        <v>88</v>
      </c>
      <c r="U28" s="2" t="s">
        <v>65</v>
      </c>
      <c r="V28" s="2" t="s">
        <v>66</v>
      </c>
      <c r="W28" s="2">
        <v>2</v>
      </c>
    </row>
    <row r="29" s="1" customFormat="1" spans="1:22">
      <c r="A29" s="1">
        <v>11020201</v>
      </c>
      <c r="B29" s="1" t="s">
        <v>107</v>
      </c>
      <c r="C29" s="1" t="str">
        <f t="shared" si="16"/>
        <v>item_11020201</v>
      </c>
      <c r="D29" s="1" t="str">
        <f t="shared" si="17"/>
        <v>item_desc_11020201</v>
      </c>
      <c r="E29" s="1" t="str">
        <f t="shared" si="18"/>
        <v>item_11020201</v>
      </c>
      <c r="F29" s="1" t="str">
        <f t="shared" si="19"/>
        <v>110202</v>
      </c>
      <c r="G29" s="18">
        <f t="shared" si="20"/>
        <v>1</v>
      </c>
      <c r="H29" s="18">
        <v>1</v>
      </c>
      <c r="J29" s="1">
        <f t="shared" si="22"/>
        <v>11020202</v>
      </c>
      <c r="K29" s="1">
        <f t="shared" si="23"/>
        <v>5</v>
      </c>
      <c r="L29" s="1" t="s">
        <v>50</v>
      </c>
      <c r="Q29" s="1" t="s">
        <v>50</v>
      </c>
      <c r="S29" s="1" t="str">
        <f>IF(AND(H29=1,G29&gt;4),1,"")</f>
        <v/>
      </c>
      <c r="T29" s="1" t="s">
        <v>50</v>
      </c>
      <c r="V29" s="1" t="s">
        <v>50</v>
      </c>
    </row>
    <row r="30" s="1" customFormat="1" spans="1:22">
      <c r="A30" s="1">
        <v>11020202</v>
      </c>
      <c r="B30" s="1" t="s">
        <v>108</v>
      </c>
      <c r="C30" s="1" t="str">
        <f t="shared" ref="C30:C34" si="24">"item_"&amp;A30</f>
        <v>item_11020202</v>
      </c>
      <c r="D30" s="1" t="str">
        <f t="shared" ref="D30:D34" si="25">"item_desc_"&amp;A30</f>
        <v>item_desc_11020202</v>
      </c>
      <c r="E30" s="1" t="str">
        <f t="shared" ref="E30:E34" si="26">"item_"&amp;A30</f>
        <v>item_11020202</v>
      </c>
      <c r="F30" s="1" t="str">
        <f t="shared" ref="F30:F34" si="27">LEFT(A30,6)</f>
        <v>110202</v>
      </c>
      <c r="G30" s="18">
        <f t="shared" ref="G30:G34" si="28">IF(LEFT(A30,6)=LEFT(A29,6),G29+1,1)</f>
        <v>2</v>
      </c>
      <c r="H30" s="18">
        <v>1</v>
      </c>
      <c r="J30" s="1">
        <f t="shared" ref="J30:J38" si="29">IF(A31-A30=1,A31,"")</f>
        <v>11020203</v>
      </c>
      <c r="K30" s="1">
        <f t="shared" ref="K30:K38" si="30">IF(AND(H30=1,G30&lt;=5),MAX(5,G30+2),"")</f>
        <v>5</v>
      </c>
      <c r="L30" s="1" t="s">
        <v>50</v>
      </c>
      <c r="S30" s="1" t="str">
        <f t="shared" ref="S30:S48" si="31">IF(AND(H30=1,G30&gt;4),1,"")</f>
        <v/>
      </c>
      <c r="T30" s="1" t="s">
        <v>50</v>
      </c>
      <c r="V30" s="1" t="s">
        <v>50</v>
      </c>
    </row>
    <row r="31" s="1" customFormat="1" spans="1:22">
      <c r="A31" s="1">
        <v>11020203</v>
      </c>
      <c r="B31" s="1" t="s">
        <v>109</v>
      </c>
      <c r="C31" s="1" t="str">
        <f t="shared" si="24"/>
        <v>item_11020203</v>
      </c>
      <c r="D31" s="1" t="str">
        <f t="shared" si="25"/>
        <v>item_desc_11020203</v>
      </c>
      <c r="E31" s="1" t="str">
        <f t="shared" si="26"/>
        <v>item_11020203</v>
      </c>
      <c r="F31" s="1" t="str">
        <f t="shared" si="27"/>
        <v>110202</v>
      </c>
      <c r="G31" s="18">
        <f t="shared" si="28"/>
        <v>3</v>
      </c>
      <c r="H31" s="18">
        <v>1</v>
      </c>
      <c r="J31" s="1">
        <f t="shared" si="29"/>
        <v>11020204</v>
      </c>
      <c r="K31" s="1">
        <f t="shared" si="30"/>
        <v>5</v>
      </c>
      <c r="L31" s="1" t="s">
        <v>50</v>
      </c>
      <c r="S31" s="1" t="str">
        <f t="shared" si="31"/>
        <v/>
      </c>
      <c r="T31" s="1" t="s">
        <v>50</v>
      </c>
      <c r="V31" s="1" t="s">
        <v>50</v>
      </c>
    </row>
    <row r="32" s="1" customFormat="1" spans="1:23">
      <c r="A32" s="1">
        <v>11020204</v>
      </c>
      <c r="B32" s="1" t="s">
        <v>110</v>
      </c>
      <c r="C32" s="1" t="str">
        <f t="shared" si="24"/>
        <v>item_11020204</v>
      </c>
      <c r="D32" s="1" t="str">
        <f t="shared" si="25"/>
        <v>item_desc_11020204</v>
      </c>
      <c r="E32" s="1" t="str">
        <f t="shared" si="26"/>
        <v>item_11020204</v>
      </c>
      <c r="F32" s="1" t="str">
        <f t="shared" si="27"/>
        <v>110202</v>
      </c>
      <c r="G32" s="18">
        <f t="shared" si="28"/>
        <v>4</v>
      </c>
      <c r="H32" s="18">
        <f t="shared" ref="H32:H38" si="32">VALUE(MID(A32,4,1))</f>
        <v>2</v>
      </c>
      <c r="J32" s="1">
        <f t="shared" si="29"/>
        <v>11020205</v>
      </c>
      <c r="K32" s="1" t="str">
        <f t="shared" si="30"/>
        <v/>
      </c>
      <c r="L32" s="1" t="s">
        <v>50</v>
      </c>
      <c r="Q32" s="1" t="s">
        <v>54</v>
      </c>
      <c r="S32" s="1" t="str">
        <f t="shared" si="31"/>
        <v/>
      </c>
      <c r="T32" s="1" t="s">
        <v>50</v>
      </c>
      <c r="V32" s="1" t="s">
        <v>50</v>
      </c>
      <c r="W32" s="1">
        <v>1</v>
      </c>
    </row>
    <row r="33" s="1" customFormat="1" spans="1:23">
      <c r="A33" s="1">
        <v>11020205</v>
      </c>
      <c r="B33" s="1" t="s">
        <v>111</v>
      </c>
      <c r="C33" s="1" t="str">
        <f t="shared" si="24"/>
        <v>item_11020205</v>
      </c>
      <c r="D33" s="1" t="str">
        <f t="shared" si="25"/>
        <v>item_desc_11020205</v>
      </c>
      <c r="E33" s="1" t="str">
        <f t="shared" si="26"/>
        <v>item_11020205</v>
      </c>
      <c r="F33" s="1" t="str">
        <f t="shared" si="27"/>
        <v>110202</v>
      </c>
      <c r="G33" s="18">
        <f t="shared" si="28"/>
        <v>5</v>
      </c>
      <c r="H33" s="18">
        <f t="shared" si="32"/>
        <v>2</v>
      </c>
      <c r="J33" s="1">
        <f t="shared" si="29"/>
        <v>11020206</v>
      </c>
      <c r="K33" s="1" t="str">
        <f t="shared" si="30"/>
        <v/>
      </c>
      <c r="L33" s="1" t="s">
        <v>50</v>
      </c>
      <c r="Q33" s="1" t="s">
        <v>54</v>
      </c>
      <c r="S33" s="1" t="str">
        <f t="shared" si="31"/>
        <v/>
      </c>
      <c r="T33" s="1" t="s">
        <v>50</v>
      </c>
      <c r="V33" s="1" t="s">
        <v>50</v>
      </c>
      <c r="W33" s="1">
        <v>1</v>
      </c>
    </row>
    <row r="34" s="1" customFormat="1" spans="1:23">
      <c r="A34" s="1">
        <v>11020206</v>
      </c>
      <c r="B34" s="1" t="s">
        <v>112</v>
      </c>
      <c r="C34" s="1" t="str">
        <f t="shared" si="24"/>
        <v>item_11020206</v>
      </c>
      <c r="D34" s="1" t="str">
        <f t="shared" si="25"/>
        <v>item_desc_11020206</v>
      </c>
      <c r="E34" s="1" t="str">
        <f t="shared" si="26"/>
        <v>item_11020206</v>
      </c>
      <c r="F34" s="1" t="str">
        <f t="shared" si="27"/>
        <v>110202</v>
      </c>
      <c r="G34" s="18">
        <f t="shared" si="28"/>
        <v>6</v>
      </c>
      <c r="H34" s="18">
        <f t="shared" si="32"/>
        <v>2</v>
      </c>
      <c r="J34" s="1">
        <f t="shared" si="29"/>
        <v>11020207</v>
      </c>
      <c r="K34" s="1" t="str">
        <f t="shared" si="30"/>
        <v/>
      </c>
      <c r="L34" s="1" t="s">
        <v>50</v>
      </c>
      <c r="Q34" s="1" t="s">
        <v>57</v>
      </c>
      <c r="S34" s="1" t="str">
        <f t="shared" si="31"/>
        <v/>
      </c>
      <c r="T34" s="1" t="s">
        <v>50</v>
      </c>
      <c r="V34" s="1" t="s">
        <v>50</v>
      </c>
      <c r="W34" s="1">
        <v>1</v>
      </c>
    </row>
    <row r="35" s="1" customFormat="1" spans="1:23">
      <c r="A35" s="1">
        <v>11020207</v>
      </c>
      <c r="B35" s="1" t="s">
        <v>113</v>
      </c>
      <c r="C35" s="1" t="str">
        <f t="shared" ref="C35:C38" si="33">"item_"&amp;A35</f>
        <v>item_11020207</v>
      </c>
      <c r="D35" s="1" t="str">
        <f t="shared" ref="D35:D38" si="34">"item_desc_"&amp;A35</f>
        <v>item_desc_11020207</v>
      </c>
      <c r="E35" s="1" t="str">
        <f t="shared" ref="E35:E38" si="35">"item_"&amp;A35</f>
        <v>item_11020207</v>
      </c>
      <c r="F35" s="1" t="str">
        <f t="shared" ref="F35:F38" si="36">LEFT(A35,6)</f>
        <v>110202</v>
      </c>
      <c r="G35" s="18">
        <f t="shared" ref="G35:G38" si="37">IF(LEFT(A35,6)=LEFT(A34,6),G34+1,1)</f>
        <v>7</v>
      </c>
      <c r="H35" s="18">
        <f t="shared" si="32"/>
        <v>2</v>
      </c>
      <c r="J35" s="1">
        <f t="shared" si="29"/>
        <v>11020208</v>
      </c>
      <c r="K35" s="1" t="str">
        <f t="shared" si="30"/>
        <v/>
      </c>
      <c r="L35" s="1" t="s">
        <v>50</v>
      </c>
      <c r="Q35" s="1" t="s">
        <v>57</v>
      </c>
      <c r="S35" s="1" t="str">
        <f t="shared" si="31"/>
        <v/>
      </c>
      <c r="T35" s="1" t="s">
        <v>50</v>
      </c>
      <c r="V35" s="1" t="s">
        <v>50</v>
      </c>
      <c r="W35" s="1">
        <v>2</v>
      </c>
    </row>
    <row r="36" spans="1:23">
      <c r="A36" s="1">
        <v>11020208</v>
      </c>
      <c r="B36" s="1" t="s">
        <v>114</v>
      </c>
      <c r="C36" s="1" t="str">
        <f t="shared" si="33"/>
        <v>item_11020208</v>
      </c>
      <c r="D36" s="1" t="str">
        <f t="shared" si="34"/>
        <v>item_desc_11020208</v>
      </c>
      <c r="E36" s="1" t="str">
        <f t="shared" si="35"/>
        <v>item_11020208</v>
      </c>
      <c r="F36" s="1" t="str">
        <f t="shared" si="36"/>
        <v>110202</v>
      </c>
      <c r="G36" s="18">
        <f t="shared" si="37"/>
        <v>8</v>
      </c>
      <c r="H36" s="18">
        <f t="shared" si="32"/>
        <v>2</v>
      </c>
      <c r="J36" s="1">
        <f t="shared" si="29"/>
        <v>11020209</v>
      </c>
      <c r="K36" s="1" t="str">
        <f t="shared" si="30"/>
        <v/>
      </c>
      <c r="L36" s="1" t="s">
        <v>50</v>
      </c>
      <c r="Q36" s="1" t="s">
        <v>57</v>
      </c>
      <c r="S36" s="13" t="str">
        <f t="shared" si="31"/>
        <v/>
      </c>
      <c r="T36" s="13" t="s">
        <v>50</v>
      </c>
      <c r="V36" s="13" t="s">
        <v>50</v>
      </c>
      <c r="W36" s="13">
        <v>2</v>
      </c>
    </row>
    <row r="37" s="2" customFormat="1" spans="1:23">
      <c r="A37" s="3">
        <v>11020209</v>
      </c>
      <c r="B37" s="3" t="s">
        <v>115</v>
      </c>
      <c r="C37" s="3" t="str">
        <f t="shared" si="33"/>
        <v>item_11020209</v>
      </c>
      <c r="D37" s="3" t="str">
        <f t="shared" si="34"/>
        <v>item_desc_11020209</v>
      </c>
      <c r="E37" s="3" t="str">
        <f t="shared" si="35"/>
        <v>item_11020209</v>
      </c>
      <c r="F37" s="3" t="str">
        <f t="shared" si="36"/>
        <v>110202</v>
      </c>
      <c r="G37" s="3">
        <f t="shared" si="37"/>
        <v>9</v>
      </c>
      <c r="H37" s="3">
        <f t="shared" si="32"/>
        <v>2</v>
      </c>
      <c r="J37" s="3" t="str">
        <f t="shared" si="29"/>
        <v/>
      </c>
      <c r="K37" s="3" t="str">
        <f t="shared" si="30"/>
        <v/>
      </c>
      <c r="L37" s="3" t="s">
        <v>50</v>
      </c>
      <c r="Q37" s="2" t="s">
        <v>61</v>
      </c>
      <c r="S37" s="2" t="str">
        <f t="shared" si="31"/>
        <v/>
      </c>
      <c r="T37" s="2" t="s">
        <v>50</v>
      </c>
      <c r="V37" s="2" t="s">
        <v>50</v>
      </c>
      <c r="W37" s="2">
        <v>2</v>
      </c>
    </row>
    <row r="38" spans="1:22">
      <c r="A38" s="1">
        <v>11010301</v>
      </c>
      <c r="B38" s="13" t="s">
        <v>116</v>
      </c>
      <c r="C38" s="1" t="str">
        <f t="shared" si="33"/>
        <v>item_11010301</v>
      </c>
      <c r="D38" s="1" t="str">
        <f t="shared" si="34"/>
        <v>item_desc_11010301</v>
      </c>
      <c r="E38" s="1" t="str">
        <f t="shared" si="35"/>
        <v>item_11010301</v>
      </c>
      <c r="F38" s="1" t="str">
        <f t="shared" si="36"/>
        <v>110103</v>
      </c>
      <c r="G38" s="18">
        <f t="shared" si="37"/>
        <v>1</v>
      </c>
      <c r="H38" s="18">
        <f t="shared" si="32"/>
        <v>1</v>
      </c>
      <c r="I38" s="1"/>
      <c r="J38" s="1">
        <f t="shared" si="29"/>
        <v>11010302</v>
      </c>
      <c r="K38" s="1">
        <f t="shared" si="30"/>
        <v>5</v>
      </c>
      <c r="L38" s="1" t="s">
        <v>50</v>
      </c>
      <c r="M38" s="13" t="s">
        <v>63</v>
      </c>
      <c r="N38" s="13" t="s">
        <v>64</v>
      </c>
      <c r="Q38" s="13" t="s">
        <v>50</v>
      </c>
      <c r="S38" s="13" t="str">
        <f t="shared" si="31"/>
        <v/>
      </c>
      <c r="T38" s="13" t="s">
        <v>50</v>
      </c>
      <c r="U38" s="13" t="s">
        <v>65</v>
      </c>
      <c r="V38" s="13" t="s">
        <v>117</v>
      </c>
    </row>
    <row r="39" spans="1:22">
      <c r="A39" s="1">
        <v>11010302</v>
      </c>
      <c r="B39" s="13" t="s">
        <v>118</v>
      </c>
      <c r="C39" s="1" t="str">
        <f t="shared" ref="C39:C43" si="38">"item_"&amp;A39</f>
        <v>item_11010302</v>
      </c>
      <c r="D39" s="1" t="str">
        <f t="shared" ref="D39:D43" si="39">"item_desc_"&amp;A39</f>
        <v>item_desc_11010302</v>
      </c>
      <c r="E39" s="1" t="str">
        <f t="shared" ref="E39:E43" si="40">"item_"&amp;A39</f>
        <v>item_11010302</v>
      </c>
      <c r="F39" s="1" t="str">
        <f t="shared" ref="F39:F43" si="41">LEFT(A39,6)</f>
        <v>110103</v>
      </c>
      <c r="G39" s="18">
        <f t="shared" ref="G39:G43" si="42">IF(LEFT(A39,6)=LEFT(A38,6),G38+1,1)</f>
        <v>2</v>
      </c>
      <c r="H39" s="18">
        <f t="shared" ref="H39:H47" si="43">VALUE(MID(A39,4,1))</f>
        <v>1</v>
      </c>
      <c r="I39" s="1"/>
      <c r="J39" s="1">
        <f t="shared" ref="J39:J47" si="44">IF(A40-A39=1,A40,"")</f>
        <v>11010303</v>
      </c>
      <c r="K39" s="1">
        <f t="shared" ref="K39:K47" si="45">IF(AND(H39=1,G39&lt;=5),MAX(5,G39+2),"")</f>
        <v>5</v>
      </c>
      <c r="L39" s="1" t="s">
        <v>50</v>
      </c>
      <c r="M39" s="13" t="s">
        <v>68</v>
      </c>
      <c r="N39" s="13" t="s">
        <v>69</v>
      </c>
      <c r="Q39" s="13" t="s">
        <v>50</v>
      </c>
      <c r="S39" s="13" t="str">
        <f t="shared" si="31"/>
        <v/>
      </c>
      <c r="T39" s="13" t="s">
        <v>50</v>
      </c>
      <c r="U39" s="13" t="s">
        <v>65</v>
      </c>
      <c r="V39" s="13" t="s">
        <v>117</v>
      </c>
    </row>
    <row r="40" spans="1:22">
      <c r="A40" s="1">
        <v>11010303</v>
      </c>
      <c r="B40" s="13" t="s">
        <v>119</v>
      </c>
      <c r="C40" s="1" t="str">
        <f t="shared" si="38"/>
        <v>item_11010303</v>
      </c>
      <c r="D40" s="1" t="str">
        <f t="shared" si="39"/>
        <v>item_desc_11010303</v>
      </c>
      <c r="E40" s="1" t="str">
        <f t="shared" si="40"/>
        <v>item_11010303</v>
      </c>
      <c r="F40" s="1" t="str">
        <f t="shared" si="41"/>
        <v>110103</v>
      </c>
      <c r="G40" s="18">
        <f t="shared" si="42"/>
        <v>3</v>
      </c>
      <c r="H40" s="18">
        <f t="shared" si="43"/>
        <v>1</v>
      </c>
      <c r="I40" s="1"/>
      <c r="J40" s="1">
        <f t="shared" si="44"/>
        <v>11010304</v>
      </c>
      <c r="K40" s="1">
        <f t="shared" si="45"/>
        <v>5</v>
      </c>
      <c r="L40" s="1" t="s">
        <v>50</v>
      </c>
      <c r="M40" s="13" t="s">
        <v>71</v>
      </c>
      <c r="N40" s="13" t="s">
        <v>72</v>
      </c>
      <c r="Q40" s="13" t="s">
        <v>50</v>
      </c>
      <c r="S40" s="13" t="str">
        <f t="shared" si="31"/>
        <v/>
      </c>
      <c r="T40" s="13" t="s">
        <v>50</v>
      </c>
      <c r="U40" s="13" t="s">
        <v>65</v>
      </c>
      <c r="V40" s="13" t="s">
        <v>117</v>
      </c>
    </row>
    <row r="41" spans="1:23">
      <c r="A41" s="1">
        <v>11010304</v>
      </c>
      <c r="B41" s="13" t="s">
        <v>120</v>
      </c>
      <c r="C41" s="1" t="str">
        <f t="shared" si="38"/>
        <v>item_11010304</v>
      </c>
      <c r="D41" s="1" t="str">
        <f t="shared" si="39"/>
        <v>item_desc_11010304</v>
      </c>
      <c r="E41" s="1" t="str">
        <f t="shared" si="40"/>
        <v>item_11010304</v>
      </c>
      <c r="F41" s="1" t="str">
        <f t="shared" si="41"/>
        <v>110103</v>
      </c>
      <c r="G41" s="18">
        <f t="shared" si="42"/>
        <v>4</v>
      </c>
      <c r="H41" s="18">
        <f t="shared" si="43"/>
        <v>1</v>
      </c>
      <c r="I41" s="1"/>
      <c r="J41" s="1">
        <f t="shared" si="44"/>
        <v>11010305</v>
      </c>
      <c r="K41" s="1">
        <f t="shared" si="45"/>
        <v>6</v>
      </c>
      <c r="L41" s="1">
        <v>1</v>
      </c>
      <c r="M41" s="13" t="s">
        <v>74</v>
      </c>
      <c r="N41" s="13" t="s">
        <v>75</v>
      </c>
      <c r="S41" s="13" t="s">
        <v>76</v>
      </c>
      <c r="T41" s="13" t="s">
        <v>74</v>
      </c>
      <c r="U41" s="13" t="s">
        <v>65</v>
      </c>
      <c r="V41" s="13" t="s">
        <v>117</v>
      </c>
      <c r="W41" s="13">
        <v>1</v>
      </c>
    </row>
    <row r="42" spans="1:23">
      <c r="A42" s="1">
        <v>11010305</v>
      </c>
      <c r="B42" s="13" t="s">
        <v>121</v>
      </c>
      <c r="C42" s="1" t="str">
        <f t="shared" si="38"/>
        <v>item_11010305</v>
      </c>
      <c r="D42" s="1" t="str">
        <f t="shared" si="39"/>
        <v>item_desc_11010305</v>
      </c>
      <c r="E42" s="1" t="str">
        <f t="shared" si="40"/>
        <v>item_11010305</v>
      </c>
      <c r="F42" s="1" t="str">
        <f t="shared" si="41"/>
        <v>110103</v>
      </c>
      <c r="G42" s="18">
        <f t="shared" si="42"/>
        <v>5</v>
      </c>
      <c r="H42" s="18">
        <f t="shared" si="43"/>
        <v>1</v>
      </c>
      <c r="I42" s="1"/>
      <c r="J42" s="1">
        <f t="shared" si="44"/>
        <v>11010306</v>
      </c>
      <c r="K42" s="1">
        <f t="shared" si="45"/>
        <v>7</v>
      </c>
      <c r="L42" s="1">
        <v>1</v>
      </c>
      <c r="M42" s="13" t="s">
        <v>78</v>
      </c>
      <c r="N42" s="13" t="s">
        <v>79</v>
      </c>
      <c r="Q42" s="13" t="s">
        <v>80</v>
      </c>
      <c r="S42" s="13" t="s">
        <v>81</v>
      </c>
      <c r="T42" s="13" t="s">
        <v>78</v>
      </c>
      <c r="U42" s="13" t="s">
        <v>65</v>
      </c>
      <c r="V42" s="13" t="s">
        <v>117</v>
      </c>
      <c r="W42" s="13">
        <v>1</v>
      </c>
    </row>
    <row r="43" spans="1:23">
      <c r="A43" s="1">
        <v>11010306</v>
      </c>
      <c r="B43" s="13" t="s">
        <v>122</v>
      </c>
      <c r="C43" s="1" t="str">
        <f t="shared" si="38"/>
        <v>item_11010306</v>
      </c>
      <c r="D43" s="1" t="str">
        <f t="shared" si="39"/>
        <v>item_desc_11010306</v>
      </c>
      <c r="E43" s="1" t="str">
        <f t="shared" si="40"/>
        <v>item_11010306</v>
      </c>
      <c r="F43" s="1" t="str">
        <f t="shared" si="41"/>
        <v>110103</v>
      </c>
      <c r="G43" s="18">
        <f t="shared" si="42"/>
        <v>6</v>
      </c>
      <c r="H43" s="18">
        <f t="shared" si="43"/>
        <v>1</v>
      </c>
      <c r="I43" s="1"/>
      <c r="J43" s="1">
        <f t="shared" si="44"/>
        <v>11010307</v>
      </c>
      <c r="K43" s="1" t="str">
        <f t="shared" si="45"/>
        <v/>
      </c>
      <c r="L43" s="1" t="s">
        <v>50</v>
      </c>
      <c r="M43" s="13" t="s">
        <v>83</v>
      </c>
      <c r="N43" s="13" t="s">
        <v>84</v>
      </c>
      <c r="Q43" s="13" t="s">
        <v>85</v>
      </c>
      <c r="S43" s="13" t="s">
        <v>86</v>
      </c>
      <c r="T43" s="13" t="s">
        <v>83</v>
      </c>
      <c r="U43" s="13" t="s">
        <v>65</v>
      </c>
      <c r="V43" s="13" t="s">
        <v>117</v>
      </c>
      <c r="W43" s="13">
        <v>1</v>
      </c>
    </row>
    <row r="44" spans="1:23">
      <c r="A44" s="1">
        <v>11010307</v>
      </c>
      <c r="B44" s="13" t="s">
        <v>123</v>
      </c>
      <c r="C44" s="1" t="str">
        <f t="shared" ref="C44:C47" si="46">"item_"&amp;A44</f>
        <v>item_11010307</v>
      </c>
      <c r="D44" s="1" t="str">
        <f t="shared" ref="D44:D47" si="47">"item_desc_"&amp;A44</f>
        <v>item_desc_11010307</v>
      </c>
      <c r="E44" s="1" t="str">
        <f t="shared" ref="E44:E47" si="48">"item_"&amp;A44</f>
        <v>item_11010307</v>
      </c>
      <c r="F44" s="1" t="str">
        <f t="shared" ref="F44:F47" si="49">LEFT(A44,6)</f>
        <v>110103</v>
      </c>
      <c r="G44" s="18">
        <f t="shared" ref="G44:G47" si="50">IF(LEFT(A44,6)=LEFT(A43,6),G43+1,1)</f>
        <v>7</v>
      </c>
      <c r="H44" s="18">
        <f t="shared" si="43"/>
        <v>1</v>
      </c>
      <c r="I44" s="1"/>
      <c r="J44" s="1">
        <f t="shared" si="44"/>
        <v>11010308</v>
      </c>
      <c r="K44" s="1" t="str">
        <f t="shared" si="45"/>
        <v/>
      </c>
      <c r="L44" s="1" t="s">
        <v>50</v>
      </c>
      <c r="M44" s="13" t="s">
        <v>88</v>
      </c>
      <c r="N44" s="13" t="s">
        <v>89</v>
      </c>
      <c r="Q44" s="13" t="s">
        <v>90</v>
      </c>
      <c r="S44" s="13" t="s">
        <v>91</v>
      </c>
      <c r="T44" s="13" t="s">
        <v>88</v>
      </c>
      <c r="U44" s="13" t="s">
        <v>65</v>
      </c>
      <c r="V44" s="13" t="s">
        <v>117</v>
      </c>
      <c r="W44" s="13">
        <v>2</v>
      </c>
    </row>
    <row r="45" spans="1:23">
      <c r="A45" s="1">
        <v>11010308</v>
      </c>
      <c r="B45" s="13" t="s">
        <v>124</v>
      </c>
      <c r="C45" s="1" t="str">
        <f t="shared" si="46"/>
        <v>item_11010308</v>
      </c>
      <c r="D45" s="1" t="str">
        <f t="shared" si="47"/>
        <v>item_desc_11010308</v>
      </c>
      <c r="E45" s="1" t="str">
        <f t="shared" si="48"/>
        <v>item_11010308</v>
      </c>
      <c r="F45" s="1" t="str">
        <f t="shared" si="49"/>
        <v>110103</v>
      </c>
      <c r="G45" s="18">
        <f t="shared" si="50"/>
        <v>8</v>
      </c>
      <c r="H45" s="18">
        <f t="shared" si="43"/>
        <v>1</v>
      </c>
      <c r="J45" s="1">
        <f t="shared" si="44"/>
        <v>11010309</v>
      </c>
      <c r="K45" s="1" t="str">
        <f t="shared" si="45"/>
        <v/>
      </c>
      <c r="L45" s="1" t="s">
        <v>50</v>
      </c>
      <c r="M45" s="13" t="s">
        <v>93</v>
      </c>
      <c r="N45" s="13" t="s">
        <v>94</v>
      </c>
      <c r="Q45" s="13" t="s">
        <v>95</v>
      </c>
      <c r="S45" s="13" t="s">
        <v>96</v>
      </c>
      <c r="T45" s="13" t="s">
        <v>93</v>
      </c>
      <c r="U45" s="13" t="s">
        <v>65</v>
      </c>
      <c r="V45" s="13" t="s">
        <v>117</v>
      </c>
      <c r="W45" s="13">
        <v>2</v>
      </c>
    </row>
    <row r="46" s="2" customFormat="1" spans="1:23">
      <c r="A46" s="3">
        <v>11010309</v>
      </c>
      <c r="B46" s="2" t="s">
        <v>125</v>
      </c>
      <c r="C46" s="3" t="str">
        <f t="shared" si="46"/>
        <v>item_11010309</v>
      </c>
      <c r="D46" s="3" t="str">
        <f t="shared" si="47"/>
        <v>item_desc_11010309</v>
      </c>
      <c r="E46" s="3" t="str">
        <f t="shared" si="48"/>
        <v>item_11010309</v>
      </c>
      <c r="F46" s="3" t="str">
        <f t="shared" si="49"/>
        <v>110103</v>
      </c>
      <c r="G46" s="3">
        <f t="shared" si="50"/>
        <v>9</v>
      </c>
      <c r="H46" s="3">
        <f t="shared" si="43"/>
        <v>1</v>
      </c>
      <c r="J46" s="3" t="str">
        <f t="shared" si="44"/>
        <v/>
      </c>
      <c r="K46" s="3" t="str">
        <f t="shared" si="45"/>
        <v/>
      </c>
      <c r="L46" s="3" t="s">
        <v>50</v>
      </c>
      <c r="M46" s="2" t="s">
        <v>98</v>
      </c>
      <c r="N46" s="2" t="s">
        <v>99</v>
      </c>
      <c r="Q46" s="2" t="s">
        <v>100</v>
      </c>
      <c r="S46" s="2" t="s">
        <v>96</v>
      </c>
      <c r="T46" s="2" t="s">
        <v>98</v>
      </c>
      <c r="U46" s="2" t="s">
        <v>65</v>
      </c>
      <c r="V46" s="2" t="s">
        <v>117</v>
      </c>
      <c r="W46" s="2">
        <v>2</v>
      </c>
    </row>
    <row r="47" spans="1:22">
      <c r="A47" s="1">
        <v>11010401</v>
      </c>
      <c r="B47" s="13" t="s">
        <v>126</v>
      </c>
      <c r="C47" s="1" t="str">
        <f t="shared" si="46"/>
        <v>item_11010401</v>
      </c>
      <c r="D47" s="1" t="str">
        <f t="shared" si="47"/>
        <v>item_desc_11010401</v>
      </c>
      <c r="E47" s="1" t="str">
        <f t="shared" si="48"/>
        <v>item_11010401</v>
      </c>
      <c r="F47" s="1" t="str">
        <f t="shared" si="49"/>
        <v>110104</v>
      </c>
      <c r="G47" s="18">
        <f t="shared" si="50"/>
        <v>1</v>
      </c>
      <c r="H47" s="18">
        <f t="shared" si="43"/>
        <v>1</v>
      </c>
      <c r="I47" s="1"/>
      <c r="J47" s="1">
        <f t="shared" si="44"/>
        <v>11010402</v>
      </c>
      <c r="K47" s="1">
        <f t="shared" si="45"/>
        <v>5</v>
      </c>
      <c r="L47" s="1" t="s">
        <v>50</v>
      </c>
      <c r="M47" s="13" t="s">
        <v>68</v>
      </c>
      <c r="N47" s="13" t="s">
        <v>64</v>
      </c>
      <c r="Q47" s="13" t="s">
        <v>50</v>
      </c>
      <c r="S47" s="13" t="str">
        <f t="shared" si="31"/>
        <v/>
      </c>
      <c r="T47" s="13" t="s">
        <v>50</v>
      </c>
      <c r="U47" s="13" t="s">
        <v>65</v>
      </c>
      <c r="V47" s="13" t="s">
        <v>117</v>
      </c>
    </row>
    <row r="48" spans="1:22">
      <c r="A48" s="1">
        <v>11010402</v>
      </c>
      <c r="B48" s="13" t="s">
        <v>127</v>
      </c>
      <c r="C48" s="1" t="str">
        <f t="shared" ref="C48:C53" si="51">"item_"&amp;A48</f>
        <v>item_11010402</v>
      </c>
      <c r="D48" s="1" t="str">
        <f t="shared" ref="D48:D53" si="52">"item_desc_"&amp;A48</f>
        <v>item_desc_11010402</v>
      </c>
      <c r="E48" s="1" t="str">
        <f t="shared" ref="E48:E53" si="53">"item_"&amp;A48</f>
        <v>item_11010402</v>
      </c>
      <c r="F48" s="1" t="str">
        <f t="shared" ref="F48:F53" si="54">LEFT(A48,6)</f>
        <v>110104</v>
      </c>
      <c r="G48" s="18">
        <f t="shared" ref="G48:G53" si="55">IF(LEFT(A48,6)=LEFT(A47,6),G47+1,1)</f>
        <v>2</v>
      </c>
      <c r="H48" s="18">
        <f t="shared" ref="H48:H52" si="56">VALUE(MID(A48,4,1))</f>
        <v>1</v>
      </c>
      <c r="I48" s="1"/>
      <c r="J48" s="1">
        <f t="shared" ref="J48:J53" si="57">IF(A49-A48=1,A49,"")</f>
        <v>11010403</v>
      </c>
      <c r="K48" s="1">
        <f t="shared" ref="K48:K53" si="58">IF(AND(H48=1,G48&lt;=5),MAX(5,G48+2),"")</f>
        <v>5</v>
      </c>
      <c r="L48" s="1" t="s">
        <v>50</v>
      </c>
      <c r="M48" s="13" t="s">
        <v>71</v>
      </c>
      <c r="N48" s="13" t="s">
        <v>69</v>
      </c>
      <c r="Q48" s="13" t="s">
        <v>50</v>
      </c>
      <c r="S48" s="13" t="str">
        <f t="shared" si="31"/>
        <v/>
      </c>
      <c r="T48" s="13" t="s">
        <v>50</v>
      </c>
      <c r="U48" s="13" t="s">
        <v>65</v>
      </c>
      <c r="V48" s="13" t="s">
        <v>117</v>
      </c>
    </row>
    <row r="49" spans="1:23">
      <c r="A49" s="1">
        <v>11010403</v>
      </c>
      <c r="B49" s="13" t="s">
        <v>128</v>
      </c>
      <c r="C49" s="1" t="str">
        <f t="shared" si="51"/>
        <v>item_11010403</v>
      </c>
      <c r="D49" s="1" t="str">
        <f t="shared" si="52"/>
        <v>item_desc_11010403</v>
      </c>
      <c r="E49" s="1" t="str">
        <f t="shared" si="53"/>
        <v>item_11010403</v>
      </c>
      <c r="F49" s="1" t="str">
        <f t="shared" si="54"/>
        <v>110104</v>
      </c>
      <c r="G49" s="18">
        <f t="shared" si="55"/>
        <v>3</v>
      </c>
      <c r="H49" s="18">
        <f t="shared" si="56"/>
        <v>1</v>
      </c>
      <c r="I49" s="1"/>
      <c r="J49" s="1">
        <f t="shared" si="57"/>
        <v>11010404</v>
      </c>
      <c r="K49" s="1">
        <f t="shared" si="58"/>
        <v>5</v>
      </c>
      <c r="L49" s="1">
        <v>1</v>
      </c>
      <c r="M49" s="13" t="s">
        <v>74</v>
      </c>
      <c r="N49" s="13" t="s">
        <v>72</v>
      </c>
      <c r="Q49" s="13" t="s">
        <v>50</v>
      </c>
      <c r="S49" s="13" t="s">
        <v>81</v>
      </c>
      <c r="T49" s="13" t="s">
        <v>74</v>
      </c>
      <c r="U49" s="13" t="s">
        <v>65</v>
      </c>
      <c r="V49" s="13" t="s">
        <v>117</v>
      </c>
      <c r="W49" s="13">
        <v>1</v>
      </c>
    </row>
    <row r="50" spans="1:23">
      <c r="A50" s="1">
        <v>11010404</v>
      </c>
      <c r="B50" s="13" t="s">
        <v>129</v>
      </c>
      <c r="C50" s="1" t="str">
        <f t="shared" si="51"/>
        <v>item_11010404</v>
      </c>
      <c r="D50" s="1" t="str">
        <f t="shared" si="52"/>
        <v>item_desc_11010404</v>
      </c>
      <c r="E50" s="1" t="str">
        <f t="shared" si="53"/>
        <v>item_11010404</v>
      </c>
      <c r="F50" s="1" t="str">
        <f t="shared" si="54"/>
        <v>110104</v>
      </c>
      <c r="G50" s="18">
        <f t="shared" si="55"/>
        <v>4</v>
      </c>
      <c r="H50" s="18">
        <f t="shared" si="56"/>
        <v>1</v>
      </c>
      <c r="I50" s="1"/>
      <c r="J50" s="1">
        <f t="shared" si="57"/>
        <v>11010405</v>
      </c>
      <c r="K50" s="1">
        <f t="shared" si="58"/>
        <v>6</v>
      </c>
      <c r="L50" s="1">
        <v>1</v>
      </c>
      <c r="M50" s="13" t="s">
        <v>78</v>
      </c>
      <c r="N50" s="13" t="s">
        <v>75</v>
      </c>
      <c r="Q50" s="13" t="s">
        <v>90</v>
      </c>
      <c r="S50" s="13" t="s">
        <v>86</v>
      </c>
      <c r="T50" s="13" t="s">
        <v>78</v>
      </c>
      <c r="U50" s="13" t="s">
        <v>65</v>
      </c>
      <c r="V50" s="13" t="s">
        <v>117</v>
      </c>
      <c r="W50" s="13">
        <v>1</v>
      </c>
    </row>
    <row r="51" spans="1:23">
      <c r="A51" s="1">
        <v>11010405</v>
      </c>
      <c r="B51" s="13" t="s">
        <v>130</v>
      </c>
      <c r="C51" s="1" t="str">
        <f t="shared" si="51"/>
        <v>item_11010405</v>
      </c>
      <c r="D51" s="1" t="str">
        <f t="shared" si="52"/>
        <v>item_desc_11010405</v>
      </c>
      <c r="E51" s="1" t="str">
        <f t="shared" si="53"/>
        <v>item_11010405</v>
      </c>
      <c r="F51" s="1" t="str">
        <f t="shared" si="54"/>
        <v>110104</v>
      </c>
      <c r="G51" s="18">
        <f t="shared" si="55"/>
        <v>5</v>
      </c>
      <c r="H51" s="18">
        <f t="shared" si="56"/>
        <v>1</v>
      </c>
      <c r="I51" s="1"/>
      <c r="J51" s="1">
        <f t="shared" si="57"/>
        <v>11010406</v>
      </c>
      <c r="K51" s="1">
        <f t="shared" si="58"/>
        <v>7</v>
      </c>
      <c r="L51" s="1">
        <v>1</v>
      </c>
      <c r="M51" s="13" t="s">
        <v>83</v>
      </c>
      <c r="N51" s="13" t="s">
        <v>79</v>
      </c>
      <c r="Q51" s="13" t="s">
        <v>95</v>
      </c>
      <c r="S51" s="13" t="s">
        <v>91</v>
      </c>
      <c r="T51" s="13" t="s">
        <v>83</v>
      </c>
      <c r="U51" s="13" t="s">
        <v>65</v>
      </c>
      <c r="V51" s="13" t="s">
        <v>117</v>
      </c>
      <c r="W51" s="13">
        <v>2</v>
      </c>
    </row>
    <row r="52" s="2" customFormat="1" spans="1:23">
      <c r="A52" s="3">
        <v>11010406</v>
      </c>
      <c r="B52" s="2" t="s">
        <v>131</v>
      </c>
      <c r="C52" s="3" t="str">
        <f t="shared" si="51"/>
        <v>item_11010406</v>
      </c>
      <c r="D52" s="3" t="str">
        <f t="shared" si="52"/>
        <v>item_desc_11010406</v>
      </c>
      <c r="E52" s="3" t="str">
        <f t="shared" si="53"/>
        <v>item_11010406</v>
      </c>
      <c r="F52" s="3" t="str">
        <f t="shared" si="54"/>
        <v>110104</v>
      </c>
      <c r="G52" s="3">
        <f t="shared" si="55"/>
        <v>6</v>
      </c>
      <c r="H52" s="3">
        <f t="shared" si="56"/>
        <v>1</v>
      </c>
      <c r="I52" s="3"/>
      <c r="J52" s="3" t="str">
        <f t="shared" si="57"/>
        <v/>
      </c>
      <c r="K52" s="3" t="str">
        <f t="shared" si="58"/>
        <v/>
      </c>
      <c r="L52" s="3" t="s">
        <v>50</v>
      </c>
      <c r="M52" s="2" t="s">
        <v>88</v>
      </c>
      <c r="N52" s="2" t="s">
        <v>84</v>
      </c>
      <c r="Q52" s="2" t="s">
        <v>100</v>
      </c>
      <c r="S52" s="2" t="s">
        <v>96</v>
      </c>
      <c r="T52" s="2" t="s">
        <v>88</v>
      </c>
      <c r="U52" s="2" t="s">
        <v>65</v>
      </c>
      <c r="V52" s="2" t="s">
        <v>117</v>
      </c>
      <c r="W52" s="2">
        <v>2</v>
      </c>
    </row>
    <row r="53" s="1" customFormat="1" spans="1:20">
      <c r="A53" s="1">
        <v>11020301</v>
      </c>
      <c r="B53" s="1" t="s">
        <v>132</v>
      </c>
      <c r="C53" s="1" t="str">
        <f t="shared" si="51"/>
        <v>item_11020301</v>
      </c>
      <c r="D53" s="1" t="str">
        <f t="shared" si="52"/>
        <v>item_desc_11020301</v>
      </c>
      <c r="E53" s="1" t="str">
        <f t="shared" si="53"/>
        <v>item_11020301</v>
      </c>
      <c r="F53" s="1" t="str">
        <f t="shared" si="54"/>
        <v>110203</v>
      </c>
      <c r="G53" s="18">
        <f t="shared" si="55"/>
        <v>1</v>
      </c>
      <c r="H53" s="18">
        <v>1</v>
      </c>
      <c r="J53" s="1">
        <f t="shared" si="57"/>
        <v>11020302</v>
      </c>
      <c r="K53" s="1">
        <f t="shared" si="58"/>
        <v>5</v>
      </c>
      <c r="L53" s="1" t="s">
        <v>50</v>
      </c>
      <c r="Q53" s="1" t="s">
        <v>50</v>
      </c>
      <c r="S53" s="1" t="str">
        <f>IF(AND(H53=1,G53&gt;4),1,"")</f>
        <v/>
      </c>
      <c r="T53" s="1" t="s">
        <v>50</v>
      </c>
    </row>
    <row r="54" s="1" customFormat="1" spans="1:20">
      <c r="A54" s="1">
        <v>11020302</v>
      </c>
      <c r="B54" s="1" t="s">
        <v>133</v>
      </c>
      <c r="C54" s="1" t="str">
        <f t="shared" ref="C54:C59" si="59">"item_"&amp;A54</f>
        <v>item_11020302</v>
      </c>
      <c r="D54" s="1" t="str">
        <f t="shared" ref="D54:D59" si="60">"item_desc_"&amp;A54</f>
        <v>item_desc_11020302</v>
      </c>
      <c r="E54" s="1" t="str">
        <f t="shared" ref="E54:E59" si="61">"item_"&amp;A54</f>
        <v>item_11020302</v>
      </c>
      <c r="F54" s="1" t="str">
        <f t="shared" ref="F54:F59" si="62">LEFT(A54,6)</f>
        <v>110203</v>
      </c>
      <c r="G54" s="18">
        <f t="shared" ref="G54:G59" si="63">IF(LEFT(A54,6)=LEFT(A53,6),G53+1,1)</f>
        <v>2</v>
      </c>
      <c r="H54" s="18">
        <v>1</v>
      </c>
      <c r="J54" s="1">
        <f t="shared" ref="J54:J59" si="64">IF(A55-A54=1,A55,"")</f>
        <v>11020303</v>
      </c>
      <c r="K54" s="1">
        <f t="shared" ref="K54:K59" si="65">IF(AND(H54=1,G54&lt;=5),MAX(5,G54+2),"")</f>
        <v>5</v>
      </c>
      <c r="L54" s="1" t="s">
        <v>50</v>
      </c>
      <c r="Q54" s="1" t="s">
        <v>50</v>
      </c>
      <c r="S54" s="1" t="str">
        <f t="shared" ref="S54:S59" si="66">IF(AND(H54=1,G54&gt;4),1,"")</f>
        <v/>
      </c>
      <c r="T54" s="1" t="s">
        <v>50</v>
      </c>
    </row>
    <row r="55" s="1" customFormat="1" spans="1:23">
      <c r="A55" s="1">
        <v>11020303</v>
      </c>
      <c r="B55" s="1" t="s">
        <v>134</v>
      </c>
      <c r="C55" s="1" t="str">
        <f t="shared" si="59"/>
        <v>item_11020303</v>
      </c>
      <c r="D55" s="1" t="str">
        <f t="shared" si="60"/>
        <v>item_desc_11020303</v>
      </c>
      <c r="E55" s="1" t="str">
        <f t="shared" si="61"/>
        <v>item_11020303</v>
      </c>
      <c r="F55" s="1" t="str">
        <f t="shared" si="62"/>
        <v>110203</v>
      </c>
      <c r="G55" s="18">
        <f t="shared" si="63"/>
        <v>3</v>
      </c>
      <c r="H55" s="18">
        <f t="shared" ref="H55:H58" si="67">VALUE(MID(A55,4,1))</f>
        <v>2</v>
      </c>
      <c r="J55" s="1">
        <f t="shared" si="64"/>
        <v>11020304</v>
      </c>
      <c r="K55" s="1" t="str">
        <f t="shared" si="65"/>
        <v/>
      </c>
      <c r="L55" s="1" t="s">
        <v>50</v>
      </c>
      <c r="Q55" s="1" t="s">
        <v>54</v>
      </c>
      <c r="S55" s="1" t="str">
        <f t="shared" si="66"/>
        <v/>
      </c>
      <c r="T55" s="1" t="s">
        <v>50</v>
      </c>
      <c r="W55" s="1">
        <v>1</v>
      </c>
    </row>
    <row r="56" s="1" customFormat="1" spans="1:23">
      <c r="A56" s="1">
        <v>11020304</v>
      </c>
      <c r="B56" s="1" t="s">
        <v>135</v>
      </c>
      <c r="C56" s="1" t="str">
        <f t="shared" si="59"/>
        <v>item_11020304</v>
      </c>
      <c r="D56" s="1" t="str">
        <f t="shared" si="60"/>
        <v>item_desc_11020304</v>
      </c>
      <c r="E56" s="1" t="str">
        <f t="shared" si="61"/>
        <v>item_11020304</v>
      </c>
      <c r="F56" s="1" t="str">
        <f t="shared" si="62"/>
        <v>110203</v>
      </c>
      <c r="G56" s="18">
        <f t="shared" si="63"/>
        <v>4</v>
      </c>
      <c r="H56" s="18">
        <f t="shared" si="67"/>
        <v>2</v>
      </c>
      <c r="J56" s="1">
        <f t="shared" si="64"/>
        <v>11020305</v>
      </c>
      <c r="K56" s="1" t="str">
        <f t="shared" si="65"/>
        <v/>
      </c>
      <c r="L56" s="1" t="s">
        <v>50</v>
      </c>
      <c r="Q56" s="1" t="s">
        <v>57</v>
      </c>
      <c r="S56" s="1" t="str">
        <f t="shared" si="66"/>
        <v/>
      </c>
      <c r="T56" s="1" t="s">
        <v>50</v>
      </c>
      <c r="W56" s="1">
        <v>1</v>
      </c>
    </row>
    <row r="57" s="1" customFormat="1" spans="1:23">
      <c r="A57" s="1">
        <v>11020305</v>
      </c>
      <c r="B57" s="1" t="s">
        <v>136</v>
      </c>
      <c r="C57" s="1" t="str">
        <f t="shared" si="59"/>
        <v>item_11020305</v>
      </c>
      <c r="D57" s="1" t="str">
        <f t="shared" si="60"/>
        <v>item_desc_11020305</v>
      </c>
      <c r="E57" s="1" t="str">
        <f t="shared" si="61"/>
        <v>item_11020305</v>
      </c>
      <c r="F57" s="1" t="str">
        <f t="shared" si="62"/>
        <v>110203</v>
      </c>
      <c r="G57" s="18">
        <f t="shared" si="63"/>
        <v>5</v>
      </c>
      <c r="H57" s="18">
        <f t="shared" si="67"/>
        <v>2</v>
      </c>
      <c r="J57" s="1">
        <f t="shared" si="64"/>
        <v>11020306</v>
      </c>
      <c r="K57" s="1" t="str">
        <f t="shared" si="65"/>
        <v/>
      </c>
      <c r="L57" s="1" t="s">
        <v>50</v>
      </c>
      <c r="Q57" s="1" t="s">
        <v>57</v>
      </c>
      <c r="S57" s="1" t="str">
        <f t="shared" si="66"/>
        <v/>
      </c>
      <c r="T57" s="1" t="s">
        <v>50</v>
      </c>
      <c r="W57" s="1">
        <v>2</v>
      </c>
    </row>
    <row r="58" s="3" customFormat="1" spans="1:23">
      <c r="A58" s="3">
        <v>11020306</v>
      </c>
      <c r="B58" s="3" t="s">
        <v>137</v>
      </c>
      <c r="C58" s="3" t="str">
        <f t="shared" si="59"/>
        <v>item_11020306</v>
      </c>
      <c r="D58" s="3" t="str">
        <f t="shared" si="60"/>
        <v>item_desc_11020306</v>
      </c>
      <c r="E58" s="3" t="str">
        <f t="shared" si="61"/>
        <v>item_11020306</v>
      </c>
      <c r="F58" s="3" t="str">
        <f t="shared" si="62"/>
        <v>110203</v>
      </c>
      <c r="G58" s="3">
        <f t="shared" si="63"/>
        <v>6</v>
      </c>
      <c r="H58" s="3">
        <f t="shared" si="67"/>
        <v>2</v>
      </c>
      <c r="J58" s="3" t="str">
        <f t="shared" si="64"/>
        <v/>
      </c>
      <c r="K58" s="3" t="str">
        <f t="shared" si="65"/>
        <v/>
      </c>
      <c r="L58" s="3" t="s">
        <v>50</v>
      </c>
      <c r="Q58" s="2" t="s">
        <v>61</v>
      </c>
      <c r="S58" s="3" t="str">
        <f t="shared" si="66"/>
        <v/>
      </c>
      <c r="T58" s="3" t="s">
        <v>50</v>
      </c>
      <c r="W58" s="3">
        <v>2</v>
      </c>
    </row>
    <row r="59" s="1" customFormat="1" spans="1:22">
      <c r="A59" s="1">
        <v>11020401</v>
      </c>
      <c r="B59" s="1" t="s">
        <v>138</v>
      </c>
      <c r="C59" s="1" t="str">
        <f t="shared" si="59"/>
        <v>item_11020401</v>
      </c>
      <c r="D59" s="1" t="str">
        <f t="shared" si="60"/>
        <v>item_desc_11020401</v>
      </c>
      <c r="E59" s="1" t="str">
        <f t="shared" si="61"/>
        <v>item_11020401</v>
      </c>
      <c r="F59" s="1" t="str">
        <f t="shared" si="62"/>
        <v>110204</v>
      </c>
      <c r="G59" s="18">
        <f t="shared" si="63"/>
        <v>1</v>
      </c>
      <c r="H59" s="18">
        <v>1</v>
      </c>
      <c r="J59" s="1">
        <f t="shared" si="64"/>
        <v>11020402</v>
      </c>
      <c r="K59" s="1">
        <f t="shared" si="65"/>
        <v>5</v>
      </c>
      <c r="L59" s="1" t="s">
        <v>50</v>
      </c>
      <c r="M59" s="1" t="s">
        <v>63</v>
      </c>
      <c r="Q59" s="1" t="s">
        <v>50</v>
      </c>
      <c r="S59" s="1" t="str">
        <f t="shared" si="66"/>
        <v/>
      </c>
      <c r="T59" s="1" t="s">
        <v>50</v>
      </c>
      <c r="U59" s="1" t="s">
        <v>65</v>
      </c>
      <c r="V59" s="1" t="s">
        <v>139</v>
      </c>
    </row>
    <row r="60" s="1" customFormat="1" spans="1:22">
      <c r="A60" s="1">
        <v>11020402</v>
      </c>
      <c r="B60" s="1" t="s">
        <v>140</v>
      </c>
      <c r="C60" s="1" t="str">
        <f t="shared" ref="C60:C63" si="68">"item_"&amp;A60</f>
        <v>item_11020402</v>
      </c>
      <c r="D60" s="1" t="str">
        <f t="shared" ref="D60:D63" si="69">"item_desc_"&amp;A60</f>
        <v>item_desc_11020402</v>
      </c>
      <c r="E60" s="1" t="str">
        <f t="shared" ref="E60:E70" si="70">"item_"&amp;A60</f>
        <v>item_11020402</v>
      </c>
      <c r="F60" s="1" t="str">
        <f t="shared" ref="F60:F63" si="71">LEFT(A60,6)</f>
        <v>110204</v>
      </c>
      <c r="G60" s="18">
        <f t="shared" ref="G60:G63" si="72">IF(LEFT(A60,6)=LEFT(A59,6),G59+1,1)</f>
        <v>2</v>
      </c>
      <c r="H60" s="18">
        <v>1</v>
      </c>
      <c r="J60" s="1">
        <f t="shared" ref="J60:J63" si="73">IF(A61-A60=1,A61,"")</f>
        <v>11020403</v>
      </c>
      <c r="K60" s="1">
        <f t="shared" ref="K60:K63" si="74">IF(AND(H60=1,G60&lt;=5),MAX(5,G60+2),"")</f>
        <v>5</v>
      </c>
      <c r="L60" s="1" t="s">
        <v>50</v>
      </c>
      <c r="M60" s="1" t="s">
        <v>68</v>
      </c>
      <c r="Q60" s="1" t="s">
        <v>50</v>
      </c>
      <c r="S60" s="1" t="str">
        <f t="shared" ref="S60:S65" si="75">IF(AND(H60=1,G60&gt;4),1,"")</f>
        <v/>
      </c>
      <c r="T60" s="1" t="s">
        <v>50</v>
      </c>
      <c r="U60" s="1" t="s">
        <v>65</v>
      </c>
      <c r="V60" s="1" t="s">
        <v>139</v>
      </c>
    </row>
    <row r="61" s="1" customFormat="1" spans="1:22">
      <c r="A61" s="1">
        <v>11020403</v>
      </c>
      <c r="B61" s="1" t="s">
        <v>141</v>
      </c>
      <c r="C61" s="1" t="str">
        <f t="shared" si="68"/>
        <v>item_11020403</v>
      </c>
      <c r="D61" s="1" t="str">
        <f t="shared" si="69"/>
        <v>item_desc_11020403</v>
      </c>
      <c r="E61" s="1" t="str">
        <f t="shared" si="70"/>
        <v>item_11020403</v>
      </c>
      <c r="F61" s="1" t="str">
        <f t="shared" si="71"/>
        <v>110204</v>
      </c>
      <c r="G61" s="18">
        <f t="shared" si="72"/>
        <v>3</v>
      </c>
      <c r="H61" s="18">
        <v>1</v>
      </c>
      <c r="J61" s="1">
        <f t="shared" si="73"/>
        <v>11020404</v>
      </c>
      <c r="K61" s="1">
        <f t="shared" si="74"/>
        <v>5</v>
      </c>
      <c r="L61" s="1" t="s">
        <v>50</v>
      </c>
      <c r="M61" s="1" t="s">
        <v>71</v>
      </c>
      <c r="Q61" s="1" t="s">
        <v>50</v>
      </c>
      <c r="S61" s="1" t="str">
        <f t="shared" si="75"/>
        <v/>
      </c>
      <c r="T61" s="1" t="s">
        <v>50</v>
      </c>
      <c r="U61" s="1" t="s">
        <v>65</v>
      </c>
      <c r="V61" s="1" t="s">
        <v>139</v>
      </c>
    </row>
    <row r="62" s="3" customFormat="1" spans="1:23">
      <c r="A62" s="3">
        <v>11020404</v>
      </c>
      <c r="B62" s="3" t="s">
        <v>142</v>
      </c>
      <c r="C62" s="3" t="str">
        <f t="shared" si="68"/>
        <v>item_11020404</v>
      </c>
      <c r="D62" s="3" t="str">
        <f t="shared" si="69"/>
        <v>item_desc_11020404</v>
      </c>
      <c r="E62" s="3" t="str">
        <f t="shared" si="70"/>
        <v>item_11020404</v>
      </c>
      <c r="F62" s="3" t="str">
        <f t="shared" si="71"/>
        <v>110204</v>
      </c>
      <c r="G62" s="3">
        <f t="shared" si="72"/>
        <v>4</v>
      </c>
      <c r="H62" s="3">
        <f t="shared" ref="H62:H63" si="76">VALUE(MID(A62,4,1))</f>
        <v>2</v>
      </c>
      <c r="J62" s="3" t="str">
        <f t="shared" si="73"/>
        <v/>
      </c>
      <c r="K62" s="3" t="str">
        <f t="shared" si="74"/>
        <v/>
      </c>
      <c r="L62" s="3" t="s">
        <v>50</v>
      </c>
      <c r="M62" s="3" t="s">
        <v>74</v>
      </c>
      <c r="Q62" s="2" t="s">
        <v>54</v>
      </c>
      <c r="S62" s="2" t="s">
        <v>143</v>
      </c>
      <c r="T62" s="3" t="s">
        <v>74</v>
      </c>
      <c r="U62" s="3" t="s">
        <v>65</v>
      </c>
      <c r="V62" s="3" t="s">
        <v>139</v>
      </c>
      <c r="W62" s="3">
        <v>1</v>
      </c>
    </row>
    <row r="63" spans="1:22">
      <c r="A63" s="1">
        <v>11010501</v>
      </c>
      <c r="B63" s="13" t="s">
        <v>144</v>
      </c>
      <c r="C63" s="1" t="str">
        <f t="shared" si="68"/>
        <v>item_11010501</v>
      </c>
      <c r="D63" s="1" t="str">
        <f t="shared" si="69"/>
        <v>item_desc_11010501</v>
      </c>
      <c r="E63" s="1" t="str">
        <f t="shared" si="70"/>
        <v>item_11010501</v>
      </c>
      <c r="F63" s="1" t="str">
        <f t="shared" si="71"/>
        <v>110105</v>
      </c>
      <c r="G63" s="18">
        <f t="shared" si="72"/>
        <v>1</v>
      </c>
      <c r="H63" s="18">
        <f t="shared" si="76"/>
        <v>1</v>
      </c>
      <c r="I63" s="1"/>
      <c r="J63" s="1">
        <f t="shared" si="73"/>
        <v>11010502</v>
      </c>
      <c r="K63" s="1">
        <f t="shared" si="74"/>
        <v>5</v>
      </c>
      <c r="L63" s="1" t="s">
        <v>50</v>
      </c>
      <c r="M63" s="13" t="s">
        <v>68</v>
      </c>
      <c r="N63" s="13" t="s">
        <v>69</v>
      </c>
      <c r="Q63" s="13" t="s">
        <v>50</v>
      </c>
      <c r="S63" s="13" t="str">
        <f t="shared" si="75"/>
        <v/>
      </c>
      <c r="T63" s="13" t="s">
        <v>50</v>
      </c>
      <c r="U63" s="13" t="s">
        <v>65</v>
      </c>
      <c r="V63" s="13" t="s">
        <v>145</v>
      </c>
    </row>
    <row r="64" spans="1:22">
      <c r="A64" s="1">
        <v>11010502</v>
      </c>
      <c r="B64" s="13" t="s">
        <v>146</v>
      </c>
      <c r="C64" s="1" t="str">
        <f t="shared" ref="C64:C70" si="77">"item_"&amp;A64</f>
        <v>item_11010502</v>
      </c>
      <c r="D64" s="1" t="str">
        <f t="shared" ref="D64:D68" si="78">"item_desc_"&amp;A64</f>
        <v>item_desc_11010502</v>
      </c>
      <c r="E64" s="1" t="str">
        <f t="shared" si="70"/>
        <v>item_11010502</v>
      </c>
      <c r="F64" s="1" t="str">
        <f t="shared" ref="F64:F68" si="79">LEFT(A64,6)</f>
        <v>110105</v>
      </c>
      <c r="G64" s="18">
        <f t="shared" ref="G64:G68" si="80">IF(LEFT(A64,6)=LEFT(A63,6),G63+1,1)</f>
        <v>2</v>
      </c>
      <c r="H64" s="18">
        <f t="shared" ref="H64:H69" si="81">VALUE(MID(A64,4,1))</f>
        <v>1</v>
      </c>
      <c r="I64" s="1"/>
      <c r="J64" s="1">
        <f t="shared" ref="J64:J70" si="82">IF(A65-A64=1,A65,"")</f>
        <v>11010503</v>
      </c>
      <c r="K64" s="1">
        <f t="shared" ref="K64:K70" si="83">IF(AND(H64=1,G64&lt;=5),MAX(5,G64+2),"")</f>
        <v>5</v>
      </c>
      <c r="L64" s="1" t="s">
        <v>50</v>
      </c>
      <c r="M64" s="13" t="s">
        <v>71</v>
      </c>
      <c r="N64" s="13" t="s">
        <v>72</v>
      </c>
      <c r="Q64" s="13" t="s">
        <v>50</v>
      </c>
      <c r="S64" s="13" t="str">
        <f t="shared" si="75"/>
        <v/>
      </c>
      <c r="T64" s="13" t="s">
        <v>50</v>
      </c>
      <c r="U64" s="13" t="s">
        <v>65</v>
      </c>
      <c r="V64" s="13" t="s">
        <v>145</v>
      </c>
    </row>
    <row r="65" spans="1:22">
      <c r="A65" s="1">
        <v>11010503</v>
      </c>
      <c r="B65" s="13" t="s">
        <v>147</v>
      </c>
      <c r="C65" s="1" t="str">
        <f t="shared" si="77"/>
        <v>item_11010503</v>
      </c>
      <c r="D65" s="1" t="str">
        <f t="shared" si="78"/>
        <v>item_desc_11010503</v>
      </c>
      <c r="E65" s="1" t="str">
        <f t="shared" si="70"/>
        <v>item_11010503</v>
      </c>
      <c r="F65" s="1" t="str">
        <f t="shared" si="79"/>
        <v>110105</v>
      </c>
      <c r="G65" s="18">
        <f t="shared" si="80"/>
        <v>3</v>
      </c>
      <c r="H65" s="18">
        <f t="shared" si="81"/>
        <v>1</v>
      </c>
      <c r="I65" s="1"/>
      <c r="J65" s="1">
        <f t="shared" si="82"/>
        <v>11010504</v>
      </c>
      <c r="K65" s="1">
        <f t="shared" si="83"/>
        <v>5</v>
      </c>
      <c r="L65" s="1" t="s">
        <v>50</v>
      </c>
      <c r="M65" s="13" t="s">
        <v>74</v>
      </c>
      <c r="N65" s="13" t="s">
        <v>75</v>
      </c>
      <c r="Q65" s="13" t="s">
        <v>50</v>
      </c>
      <c r="S65" s="13" t="str">
        <f t="shared" si="75"/>
        <v/>
      </c>
      <c r="T65" s="13" t="s">
        <v>50</v>
      </c>
      <c r="U65" s="13" t="s">
        <v>65</v>
      </c>
      <c r="V65" s="13" t="s">
        <v>145</v>
      </c>
    </row>
    <row r="66" spans="1:23">
      <c r="A66" s="1">
        <v>11010504</v>
      </c>
      <c r="B66" s="13" t="s">
        <v>148</v>
      </c>
      <c r="C66" s="1" t="str">
        <f t="shared" si="77"/>
        <v>item_11010504</v>
      </c>
      <c r="D66" s="1" t="str">
        <f t="shared" si="78"/>
        <v>item_desc_11010504</v>
      </c>
      <c r="E66" s="1" t="str">
        <f t="shared" si="70"/>
        <v>item_11010504</v>
      </c>
      <c r="F66" s="1" t="str">
        <f t="shared" si="79"/>
        <v>110105</v>
      </c>
      <c r="G66" s="18">
        <f t="shared" si="80"/>
        <v>4</v>
      </c>
      <c r="H66" s="18">
        <f t="shared" si="81"/>
        <v>1</v>
      </c>
      <c r="I66" s="1"/>
      <c r="J66" s="1">
        <f t="shared" si="82"/>
        <v>11010505</v>
      </c>
      <c r="K66" s="1">
        <f t="shared" si="83"/>
        <v>6</v>
      </c>
      <c r="L66" s="1">
        <v>1</v>
      </c>
      <c r="M66" s="13" t="s">
        <v>78</v>
      </c>
      <c r="N66" s="13" t="s">
        <v>79</v>
      </c>
      <c r="Q66" s="13" t="s">
        <v>85</v>
      </c>
      <c r="S66" s="13" t="s">
        <v>81</v>
      </c>
      <c r="T66" s="13" t="s">
        <v>78</v>
      </c>
      <c r="U66" s="13" t="s">
        <v>65</v>
      </c>
      <c r="V66" s="13" t="s">
        <v>145</v>
      </c>
      <c r="W66" s="13">
        <v>1</v>
      </c>
    </row>
    <row r="67" spans="1:23">
      <c r="A67" s="1">
        <v>11010505</v>
      </c>
      <c r="B67" s="13" t="s">
        <v>149</v>
      </c>
      <c r="C67" s="1" t="str">
        <f t="shared" si="77"/>
        <v>item_11010505</v>
      </c>
      <c r="D67" s="1" t="str">
        <f t="shared" si="78"/>
        <v>item_desc_11010505</v>
      </c>
      <c r="E67" s="1" t="str">
        <f t="shared" si="70"/>
        <v>item_11010505</v>
      </c>
      <c r="F67" s="1" t="str">
        <f t="shared" si="79"/>
        <v>110105</v>
      </c>
      <c r="G67" s="18">
        <f t="shared" si="80"/>
        <v>5</v>
      </c>
      <c r="H67" s="18">
        <f t="shared" si="81"/>
        <v>1</v>
      </c>
      <c r="I67" s="1"/>
      <c r="J67" s="1">
        <f t="shared" si="82"/>
        <v>11010506</v>
      </c>
      <c r="K67" s="1">
        <f t="shared" si="83"/>
        <v>7</v>
      </c>
      <c r="L67" s="1">
        <v>1</v>
      </c>
      <c r="M67" s="13" t="s">
        <v>83</v>
      </c>
      <c r="N67" s="13" t="s">
        <v>84</v>
      </c>
      <c r="Q67" s="13" t="s">
        <v>85</v>
      </c>
      <c r="S67" s="13" t="s">
        <v>86</v>
      </c>
      <c r="T67" s="13" t="s">
        <v>83</v>
      </c>
      <c r="U67" s="13" t="s">
        <v>65</v>
      </c>
      <c r="V67" s="13" t="s">
        <v>145</v>
      </c>
      <c r="W67" s="13">
        <v>1</v>
      </c>
    </row>
    <row r="68" spans="1:23">
      <c r="A68" s="1">
        <v>11010506</v>
      </c>
      <c r="B68" s="13" t="s">
        <v>150</v>
      </c>
      <c r="C68" s="1" t="str">
        <f t="shared" si="77"/>
        <v>item_11010506</v>
      </c>
      <c r="D68" s="1" t="str">
        <f t="shared" si="78"/>
        <v>item_desc_11010506</v>
      </c>
      <c r="E68" s="1" t="str">
        <f t="shared" si="70"/>
        <v>item_11010506</v>
      </c>
      <c r="F68" s="1" t="str">
        <f t="shared" si="79"/>
        <v>110105</v>
      </c>
      <c r="G68" s="18">
        <f t="shared" si="80"/>
        <v>6</v>
      </c>
      <c r="H68" s="18">
        <f t="shared" si="81"/>
        <v>1</v>
      </c>
      <c r="I68" s="1"/>
      <c r="J68" s="1">
        <f t="shared" si="82"/>
        <v>11010507</v>
      </c>
      <c r="K68" s="1" t="str">
        <f t="shared" si="83"/>
        <v/>
      </c>
      <c r="L68" s="1" t="s">
        <v>50</v>
      </c>
      <c r="M68" s="13" t="s">
        <v>88</v>
      </c>
      <c r="N68" s="13" t="s">
        <v>89</v>
      </c>
      <c r="Q68" s="13" t="s">
        <v>85</v>
      </c>
      <c r="S68" s="13" t="s">
        <v>91</v>
      </c>
      <c r="T68" s="13" t="s">
        <v>88</v>
      </c>
      <c r="U68" s="13" t="s">
        <v>65</v>
      </c>
      <c r="V68" s="13" t="s">
        <v>145</v>
      </c>
      <c r="W68" s="13">
        <v>1</v>
      </c>
    </row>
    <row r="69" s="2" customFormat="1" spans="1:23">
      <c r="A69" s="3">
        <v>11010507</v>
      </c>
      <c r="B69" s="2" t="s">
        <v>151</v>
      </c>
      <c r="C69" s="3" t="str">
        <f t="shared" si="77"/>
        <v>item_11010507</v>
      </c>
      <c r="D69" s="3" t="str">
        <f t="shared" ref="D69:D70" si="84">"item_desc_"&amp;A69</f>
        <v>item_desc_11010507</v>
      </c>
      <c r="E69" s="3" t="str">
        <f t="shared" si="70"/>
        <v>item_11010507</v>
      </c>
      <c r="F69" s="3" t="str">
        <f t="shared" ref="F69:F70" si="85">LEFT(A69,6)</f>
        <v>110105</v>
      </c>
      <c r="G69" s="3">
        <f t="shared" ref="G69:G70" si="86">IF(LEFT(A69,6)=LEFT(A68,6),G68+1,1)</f>
        <v>7</v>
      </c>
      <c r="H69" s="3">
        <f t="shared" si="81"/>
        <v>1</v>
      </c>
      <c r="I69" s="3"/>
      <c r="J69" s="3" t="str">
        <f t="shared" si="82"/>
        <v/>
      </c>
      <c r="K69" s="3" t="str">
        <f t="shared" si="83"/>
        <v/>
      </c>
      <c r="L69" s="3" t="s">
        <v>50</v>
      </c>
      <c r="M69" s="2" t="s">
        <v>93</v>
      </c>
      <c r="N69" s="2" t="s">
        <v>94</v>
      </c>
      <c r="Q69" s="2" t="s">
        <v>100</v>
      </c>
      <c r="S69" s="2" t="s">
        <v>96</v>
      </c>
      <c r="T69" s="2" t="s">
        <v>93</v>
      </c>
      <c r="U69" s="2" t="s">
        <v>65</v>
      </c>
      <c r="V69" s="2" t="s">
        <v>145</v>
      </c>
      <c r="W69" s="2">
        <v>2</v>
      </c>
    </row>
    <row r="70" s="1" customFormat="1" spans="1:22">
      <c r="A70" s="1">
        <v>11020501</v>
      </c>
      <c r="B70" s="1" t="s">
        <v>152</v>
      </c>
      <c r="C70" s="1" t="str">
        <f t="shared" si="77"/>
        <v>item_11020501</v>
      </c>
      <c r="D70" s="1" t="str">
        <f t="shared" si="84"/>
        <v>item_desc_11020501</v>
      </c>
      <c r="E70" s="1" t="str">
        <f t="shared" si="70"/>
        <v>item_11020501</v>
      </c>
      <c r="F70" s="1" t="str">
        <f t="shared" si="85"/>
        <v>110205</v>
      </c>
      <c r="G70" s="18">
        <f t="shared" si="86"/>
        <v>1</v>
      </c>
      <c r="H70" s="18">
        <v>1</v>
      </c>
      <c r="J70" s="1">
        <f t="shared" si="82"/>
        <v>11020502</v>
      </c>
      <c r="K70" s="1">
        <f t="shared" si="83"/>
        <v>5</v>
      </c>
      <c r="L70" s="1" t="s">
        <v>50</v>
      </c>
      <c r="Q70" s="1" t="s">
        <v>50</v>
      </c>
      <c r="S70" s="1" t="str">
        <f>IF(AND(H70=1,G70&gt;4),1,"")</f>
        <v/>
      </c>
      <c r="T70" s="1" t="s">
        <v>50</v>
      </c>
      <c r="V70" s="1" t="s">
        <v>50</v>
      </c>
    </row>
    <row r="71" s="1" customFormat="1" spans="1:22">
      <c r="A71" s="1">
        <v>11020502</v>
      </c>
      <c r="B71" s="1" t="s">
        <v>153</v>
      </c>
      <c r="C71" s="1" t="str">
        <f t="shared" ref="C71:C75" si="87">"item_"&amp;A71</f>
        <v>item_11020502</v>
      </c>
      <c r="D71" s="1" t="str">
        <f t="shared" ref="D71:D75" si="88">"item_desc_"&amp;A71</f>
        <v>item_desc_11020502</v>
      </c>
      <c r="E71" s="1" t="str">
        <f t="shared" ref="E71:E75" si="89">"item_"&amp;A71</f>
        <v>item_11020502</v>
      </c>
      <c r="F71" s="1" t="str">
        <f t="shared" ref="F71:F75" si="90">LEFT(A71,6)</f>
        <v>110205</v>
      </c>
      <c r="G71" s="18">
        <f t="shared" ref="G71:G75" si="91">IF(LEFT(A71,6)=LEFT(A70,6),G70+1,1)</f>
        <v>2</v>
      </c>
      <c r="H71" s="18">
        <v>1</v>
      </c>
      <c r="J71" s="1">
        <f t="shared" ref="J71:J79" si="92">IF(A72-A71=1,A72,"")</f>
        <v>11020503</v>
      </c>
      <c r="K71" s="1">
        <f t="shared" ref="K71:K79" si="93">IF(AND(H71=1,G71&lt;=5),MAX(5,G71+2),"")</f>
        <v>5</v>
      </c>
      <c r="L71" s="1" t="s">
        <v>50</v>
      </c>
      <c r="S71" s="1" t="str">
        <f t="shared" ref="S71:S81" si="94">IF(AND(H71=1,G71&gt;4),1,"")</f>
        <v/>
      </c>
      <c r="T71" s="1" t="s">
        <v>50</v>
      </c>
      <c r="V71" s="1" t="s">
        <v>50</v>
      </c>
    </row>
    <row r="72" s="1" customFormat="1" spans="1:22">
      <c r="A72" s="1">
        <v>11020503</v>
      </c>
      <c r="B72" s="1" t="s">
        <v>154</v>
      </c>
      <c r="C72" s="1" t="str">
        <f t="shared" si="87"/>
        <v>item_11020503</v>
      </c>
      <c r="D72" s="1" t="str">
        <f t="shared" si="88"/>
        <v>item_desc_11020503</v>
      </c>
      <c r="E72" s="1" t="str">
        <f t="shared" si="89"/>
        <v>item_11020503</v>
      </c>
      <c r="F72" s="1" t="str">
        <f t="shared" si="90"/>
        <v>110205</v>
      </c>
      <c r="G72" s="18">
        <f t="shared" si="91"/>
        <v>3</v>
      </c>
      <c r="H72" s="18">
        <v>1</v>
      </c>
      <c r="J72" s="1">
        <f t="shared" si="92"/>
        <v>11020504</v>
      </c>
      <c r="K72" s="1">
        <f t="shared" si="93"/>
        <v>5</v>
      </c>
      <c r="L72" s="1" t="s">
        <v>50</v>
      </c>
      <c r="S72" s="1" t="str">
        <f t="shared" si="94"/>
        <v/>
      </c>
      <c r="T72" s="1" t="s">
        <v>50</v>
      </c>
      <c r="V72" s="1" t="s">
        <v>50</v>
      </c>
    </row>
    <row r="73" s="1" customFormat="1" spans="1:23">
      <c r="A73" s="1">
        <v>11020504</v>
      </c>
      <c r="B73" s="1" t="s">
        <v>155</v>
      </c>
      <c r="C73" s="1" t="str">
        <f t="shared" si="87"/>
        <v>item_11020504</v>
      </c>
      <c r="D73" s="1" t="str">
        <f t="shared" si="88"/>
        <v>item_desc_11020504</v>
      </c>
      <c r="E73" s="1" t="str">
        <f t="shared" si="89"/>
        <v>item_11020504</v>
      </c>
      <c r="F73" s="1" t="str">
        <f t="shared" si="90"/>
        <v>110205</v>
      </c>
      <c r="G73" s="18">
        <f t="shared" si="91"/>
        <v>4</v>
      </c>
      <c r="H73" s="18">
        <f t="shared" ref="H73:H79" si="95">VALUE(MID(A73,4,1))</f>
        <v>2</v>
      </c>
      <c r="J73" s="1">
        <f t="shared" si="92"/>
        <v>11020505</v>
      </c>
      <c r="K73" s="1" t="str">
        <f t="shared" si="93"/>
        <v/>
      </c>
      <c r="L73" s="1" t="s">
        <v>50</v>
      </c>
      <c r="Q73" s="1" t="s">
        <v>54</v>
      </c>
      <c r="S73" s="1" t="str">
        <f t="shared" si="94"/>
        <v/>
      </c>
      <c r="T73" s="1" t="s">
        <v>50</v>
      </c>
      <c r="V73" s="1" t="s">
        <v>50</v>
      </c>
      <c r="W73" s="1">
        <v>1</v>
      </c>
    </row>
    <row r="74" s="1" customFormat="1" spans="1:23">
      <c r="A74" s="1">
        <v>11020505</v>
      </c>
      <c r="B74" s="1" t="s">
        <v>156</v>
      </c>
      <c r="C74" s="1" t="str">
        <f t="shared" si="87"/>
        <v>item_11020505</v>
      </c>
      <c r="D74" s="1" t="str">
        <f t="shared" si="88"/>
        <v>item_desc_11020505</v>
      </c>
      <c r="E74" s="1" t="str">
        <f t="shared" si="89"/>
        <v>item_11020505</v>
      </c>
      <c r="F74" s="1" t="str">
        <f t="shared" si="90"/>
        <v>110205</v>
      </c>
      <c r="G74" s="18">
        <f t="shared" si="91"/>
        <v>5</v>
      </c>
      <c r="H74" s="18">
        <f t="shared" si="95"/>
        <v>2</v>
      </c>
      <c r="J74" s="1">
        <f t="shared" si="92"/>
        <v>11020506</v>
      </c>
      <c r="K74" s="1" t="str">
        <f t="shared" si="93"/>
        <v/>
      </c>
      <c r="L74" s="1" t="s">
        <v>50</v>
      </c>
      <c r="Q74" s="1" t="s">
        <v>54</v>
      </c>
      <c r="S74" s="1" t="str">
        <f t="shared" si="94"/>
        <v/>
      </c>
      <c r="T74" s="1" t="s">
        <v>50</v>
      </c>
      <c r="V74" s="1" t="s">
        <v>50</v>
      </c>
      <c r="W74" s="1">
        <v>1</v>
      </c>
    </row>
    <row r="75" s="1" customFormat="1" spans="1:23">
      <c r="A75" s="1">
        <v>11020506</v>
      </c>
      <c r="B75" s="1" t="s">
        <v>157</v>
      </c>
      <c r="C75" s="1" t="str">
        <f t="shared" si="87"/>
        <v>item_11020506</v>
      </c>
      <c r="D75" s="1" t="str">
        <f t="shared" si="88"/>
        <v>item_desc_11020506</v>
      </c>
      <c r="E75" s="1" t="str">
        <f t="shared" si="89"/>
        <v>item_11020506</v>
      </c>
      <c r="F75" s="1" t="str">
        <f t="shared" si="90"/>
        <v>110205</v>
      </c>
      <c r="G75" s="18">
        <f t="shared" si="91"/>
        <v>6</v>
      </c>
      <c r="H75" s="18">
        <f t="shared" si="95"/>
        <v>2</v>
      </c>
      <c r="J75" s="1">
        <f t="shared" si="92"/>
        <v>11020507</v>
      </c>
      <c r="K75" s="1" t="str">
        <f t="shared" si="93"/>
        <v/>
      </c>
      <c r="L75" s="1" t="s">
        <v>50</v>
      </c>
      <c r="Q75" s="1" t="s">
        <v>57</v>
      </c>
      <c r="S75" s="1" t="str">
        <f t="shared" si="94"/>
        <v/>
      </c>
      <c r="T75" s="1" t="s">
        <v>50</v>
      </c>
      <c r="V75" s="1" t="s">
        <v>50</v>
      </c>
      <c r="W75" s="1">
        <v>1</v>
      </c>
    </row>
    <row r="76" s="1" customFormat="1" spans="1:23">
      <c r="A76" s="1">
        <v>11020507</v>
      </c>
      <c r="B76" s="1" t="s">
        <v>158</v>
      </c>
      <c r="C76" s="1" t="str">
        <f t="shared" ref="C76:C79" si="96">"item_"&amp;A76</f>
        <v>item_11020507</v>
      </c>
      <c r="D76" s="1" t="str">
        <f t="shared" ref="D76:D79" si="97">"item_desc_"&amp;A76</f>
        <v>item_desc_11020507</v>
      </c>
      <c r="E76" s="1" t="str">
        <f t="shared" ref="E76:E88" si="98">"item_"&amp;A76</f>
        <v>item_11020507</v>
      </c>
      <c r="F76" s="1" t="str">
        <f t="shared" ref="F76:F79" si="99">LEFT(A76,6)</f>
        <v>110205</v>
      </c>
      <c r="G76" s="18">
        <f t="shared" ref="G76:G79" si="100">IF(LEFT(A76,6)=LEFT(A75,6),G75+1,1)</f>
        <v>7</v>
      </c>
      <c r="H76" s="18">
        <f t="shared" si="95"/>
        <v>2</v>
      </c>
      <c r="J76" s="1">
        <f t="shared" si="92"/>
        <v>11020508</v>
      </c>
      <c r="K76" s="1" t="str">
        <f t="shared" si="93"/>
        <v/>
      </c>
      <c r="L76" s="1" t="s">
        <v>50</v>
      </c>
      <c r="Q76" s="1" t="s">
        <v>57</v>
      </c>
      <c r="S76" s="1" t="str">
        <f t="shared" si="94"/>
        <v/>
      </c>
      <c r="T76" s="1" t="s">
        <v>50</v>
      </c>
      <c r="V76" s="1" t="s">
        <v>50</v>
      </c>
      <c r="W76" s="1">
        <v>2</v>
      </c>
    </row>
    <row r="77" spans="1:23">
      <c r="A77" s="1">
        <v>11020508</v>
      </c>
      <c r="B77" s="1" t="s">
        <v>159</v>
      </c>
      <c r="C77" s="1" t="str">
        <f t="shared" si="96"/>
        <v>item_11020508</v>
      </c>
      <c r="D77" s="1" t="str">
        <f t="shared" si="97"/>
        <v>item_desc_11020508</v>
      </c>
      <c r="E77" s="1" t="str">
        <f t="shared" si="98"/>
        <v>item_11020508</v>
      </c>
      <c r="F77" s="1" t="str">
        <f t="shared" si="99"/>
        <v>110205</v>
      </c>
      <c r="G77" s="18">
        <f t="shared" si="100"/>
        <v>8</v>
      </c>
      <c r="H77" s="18">
        <f t="shared" si="95"/>
        <v>2</v>
      </c>
      <c r="J77" s="1">
        <f t="shared" si="92"/>
        <v>11020509</v>
      </c>
      <c r="K77" s="1" t="str">
        <f t="shared" si="93"/>
        <v/>
      </c>
      <c r="L77" s="1" t="s">
        <v>50</v>
      </c>
      <c r="Q77" s="1" t="s">
        <v>57</v>
      </c>
      <c r="S77" s="13" t="str">
        <f t="shared" si="94"/>
        <v/>
      </c>
      <c r="T77" s="13" t="s">
        <v>50</v>
      </c>
      <c r="V77" s="13" t="s">
        <v>50</v>
      </c>
      <c r="W77" s="13">
        <v>2</v>
      </c>
    </row>
    <row r="78" s="2" customFormat="1" spans="1:23">
      <c r="A78" s="3">
        <v>11020509</v>
      </c>
      <c r="B78" s="3" t="s">
        <v>160</v>
      </c>
      <c r="C78" s="3" t="str">
        <f t="shared" si="96"/>
        <v>item_11020509</v>
      </c>
      <c r="D78" s="3" t="str">
        <f t="shared" si="97"/>
        <v>item_desc_11020509</v>
      </c>
      <c r="E78" s="3" t="str">
        <f t="shared" si="98"/>
        <v>item_11020509</v>
      </c>
      <c r="F78" s="3" t="str">
        <f t="shared" si="99"/>
        <v>110205</v>
      </c>
      <c r="G78" s="3">
        <f t="shared" si="100"/>
        <v>9</v>
      </c>
      <c r="H78" s="3">
        <f t="shared" si="95"/>
        <v>2</v>
      </c>
      <c r="J78" s="3" t="str">
        <f t="shared" si="92"/>
        <v/>
      </c>
      <c r="K78" s="3" t="str">
        <f t="shared" si="93"/>
        <v/>
      </c>
      <c r="L78" s="3" t="s">
        <v>50</v>
      </c>
      <c r="Q78" s="2" t="s">
        <v>61</v>
      </c>
      <c r="S78" s="2" t="str">
        <f t="shared" si="94"/>
        <v/>
      </c>
      <c r="T78" s="2" t="s">
        <v>50</v>
      </c>
      <c r="V78" s="2" t="s">
        <v>50</v>
      </c>
      <c r="W78" s="2">
        <v>2</v>
      </c>
    </row>
    <row r="79" spans="1:22">
      <c r="A79" s="1">
        <v>11010601</v>
      </c>
      <c r="B79" s="13" t="s">
        <v>161</v>
      </c>
      <c r="C79" s="1" t="str">
        <f t="shared" si="96"/>
        <v>item_11010601</v>
      </c>
      <c r="D79" s="1" t="str">
        <f t="shared" si="97"/>
        <v>item_desc_11010601</v>
      </c>
      <c r="E79" s="1" t="str">
        <f t="shared" si="98"/>
        <v>item_11010601</v>
      </c>
      <c r="F79" s="1" t="str">
        <f t="shared" si="99"/>
        <v>110106</v>
      </c>
      <c r="G79" s="18">
        <f t="shared" si="100"/>
        <v>1</v>
      </c>
      <c r="H79" s="18">
        <f t="shared" si="95"/>
        <v>1</v>
      </c>
      <c r="I79" s="1"/>
      <c r="J79" s="1">
        <f t="shared" si="92"/>
        <v>11010602</v>
      </c>
      <c r="K79" s="1">
        <f t="shared" si="93"/>
        <v>5</v>
      </c>
      <c r="L79" s="1" t="s">
        <v>50</v>
      </c>
      <c r="M79" s="13" t="s">
        <v>162</v>
      </c>
      <c r="N79" s="13" t="s">
        <v>64</v>
      </c>
      <c r="Q79" s="13" t="s">
        <v>50</v>
      </c>
      <c r="S79" s="13" t="str">
        <f t="shared" si="94"/>
        <v/>
      </c>
      <c r="T79" s="13" t="s">
        <v>50</v>
      </c>
      <c r="U79" s="13" t="s">
        <v>65</v>
      </c>
      <c r="V79" s="13" t="s">
        <v>163</v>
      </c>
    </row>
    <row r="80" spans="1:22">
      <c r="A80" s="1">
        <v>11010602</v>
      </c>
      <c r="B80" s="13" t="s">
        <v>164</v>
      </c>
      <c r="C80" s="1" t="str">
        <f t="shared" ref="C80:C84" si="101">"item_"&amp;A80</f>
        <v>item_11010602</v>
      </c>
      <c r="D80" s="1" t="str">
        <f t="shared" ref="D80:D84" si="102">"item_desc_"&amp;A80</f>
        <v>item_desc_11010602</v>
      </c>
      <c r="E80" s="1" t="str">
        <f t="shared" si="98"/>
        <v>item_11010602</v>
      </c>
      <c r="F80" s="1" t="str">
        <f t="shared" ref="F80:F84" si="103">LEFT(A80,6)</f>
        <v>110106</v>
      </c>
      <c r="G80" s="18">
        <f t="shared" ref="G80:G84" si="104">IF(LEFT(A80,6)=LEFT(A79,6),G79+1,1)</f>
        <v>2</v>
      </c>
      <c r="H80" s="18">
        <f t="shared" ref="H80:H88" si="105">VALUE(MID(A80,4,1))</f>
        <v>1</v>
      </c>
      <c r="I80" s="1"/>
      <c r="J80" s="1">
        <f t="shared" ref="J80:J88" si="106">IF(A81-A80=1,A81,"")</f>
        <v>11010603</v>
      </c>
      <c r="K80" s="1">
        <f t="shared" ref="K80:K87" si="107">IF(AND(H80=1,G80&lt;=5),MAX(5,G80+2),"")</f>
        <v>5</v>
      </c>
      <c r="L80" s="1" t="s">
        <v>50</v>
      </c>
      <c r="M80" s="13" t="s">
        <v>63</v>
      </c>
      <c r="N80" s="13" t="s">
        <v>69</v>
      </c>
      <c r="Q80" s="13" t="s">
        <v>50</v>
      </c>
      <c r="S80" s="13" t="str">
        <f t="shared" si="94"/>
        <v/>
      </c>
      <c r="T80" s="13" t="s">
        <v>50</v>
      </c>
      <c r="U80" s="13" t="s">
        <v>65</v>
      </c>
      <c r="V80" s="13" t="s">
        <v>163</v>
      </c>
    </row>
    <row r="81" spans="1:22">
      <c r="A81" s="1">
        <v>11010603</v>
      </c>
      <c r="B81" s="13" t="s">
        <v>165</v>
      </c>
      <c r="C81" s="1" t="str">
        <f t="shared" si="101"/>
        <v>item_11010603</v>
      </c>
      <c r="D81" s="1" t="str">
        <f t="shared" si="102"/>
        <v>item_desc_11010603</v>
      </c>
      <c r="E81" s="1" t="str">
        <f t="shared" si="98"/>
        <v>item_11010603</v>
      </c>
      <c r="F81" s="1" t="str">
        <f t="shared" si="103"/>
        <v>110106</v>
      </c>
      <c r="G81" s="18">
        <f t="shared" si="104"/>
        <v>3</v>
      </c>
      <c r="H81" s="18">
        <f t="shared" si="105"/>
        <v>1</v>
      </c>
      <c r="I81" s="1"/>
      <c r="J81" s="1">
        <f t="shared" si="106"/>
        <v>11010604</v>
      </c>
      <c r="K81" s="1">
        <f t="shared" si="107"/>
        <v>5</v>
      </c>
      <c r="L81" s="1" t="s">
        <v>50</v>
      </c>
      <c r="M81" s="13" t="s">
        <v>166</v>
      </c>
      <c r="N81" s="13" t="s">
        <v>72</v>
      </c>
      <c r="Q81" s="13" t="s">
        <v>50</v>
      </c>
      <c r="S81" s="13" t="str">
        <f t="shared" si="94"/>
        <v/>
      </c>
      <c r="T81" s="13" t="s">
        <v>50</v>
      </c>
      <c r="U81" s="13" t="s">
        <v>65</v>
      </c>
      <c r="V81" s="13" t="s">
        <v>163</v>
      </c>
    </row>
    <row r="82" spans="1:23">
      <c r="A82" s="1">
        <v>11010604</v>
      </c>
      <c r="B82" s="13" t="s">
        <v>167</v>
      </c>
      <c r="C82" s="1" t="str">
        <f t="shared" si="101"/>
        <v>item_11010604</v>
      </c>
      <c r="D82" s="1" t="str">
        <f t="shared" si="102"/>
        <v>item_desc_11010604</v>
      </c>
      <c r="E82" s="1" t="str">
        <f t="shared" si="98"/>
        <v>item_11010604</v>
      </c>
      <c r="F82" s="1" t="str">
        <f t="shared" si="103"/>
        <v>110106</v>
      </c>
      <c r="G82" s="18">
        <f t="shared" si="104"/>
        <v>4</v>
      </c>
      <c r="H82" s="18">
        <f t="shared" si="105"/>
        <v>1</v>
      </c>
      <c r="I82" s="1"/>
      <c r="J82" s="1">
        <f t="shared" si="106"/>
        <v>11010605</v>
      </c>
      <c r="K82" s="1">
        <f t="shared" si="107"/>
        <v>6</v>
      </c>
      <c r="L82" s="1">
        <v>1</v>
      </c>
      <c r="M82" s="13" t="s">
        <v>168</v>
      </c>
      <c r="N82" s="13" t="s">
        <v>75</v>
      </c>
      <c r="S82" s="13" t="s">
        <v>76</v>
      </c>
      <c r="T82" s="13" t="s">
        <v>74</v>
      </c>
      <c r="U82" s="13" t="s">
        <v>65</v>
      </c>
      <c r="V82" s="13" t="s">
        <v>163</v>
      </c>
      <c r="W82" s="13">
        <v>1</v>
      </c>
    </row>
    <row r="83" spans="1:23">
      <c r="A83" s="1">
        <v>11010605</v>
      </c>
      <c r="B83" s="13" t="s">
        <v>169</v>
      </c>
      <c r="C83" s="1" t="str">
        <f t="shared" si="101"/>
        <v>item_11010605</v>
      </c>
      <c r="D83" s="1" t="str">
        <f t="shared" si="102"/>
        <v>item_desc_11010605</v>
      </c>
      <c r="E83" s="1" t="str">
        <f t="shared" si="98"/>
        <v>item_11010605</v>
      </c>
      <c r="F83" s="1" t="str">
        <f t="shared" si="103"/>
        <v>110106</v>
      </c>
      <c r="G83" s="18">
        <f t="shared" si="104"/>
        <v>5</v>
      </c>
      <c r="H83" s="18">
        <f t="shared" si="105"/>
        <v>1</v>
      </c>
      <c r="I83" s="1"/>
      <c r="J83" s="1">
        <f t="shared" si="106"/>
        <v>11010606</v>
      </c>
      <c r="K83" s="1">
        <f t="shared" si="107"/>
        <v>7</v>
      </c>
      <c r="L83" s="1">
        <v>1</v>
      </c>
      <c r="M83" s="13" t="s">
        <v>170</v>
      </c>
      <c r="N83" s="13" t="s">
        <v>79</v>
      </c>
      <c r="Q83" s="13" t="s">
        <v>80</v>
      </c>
      <c r="S83" s="13" t="s">
        <v>81</v>
      </c>
      <c r="T83" s="13" t="s">
        <v>78</v>
      </c>
      <c r="U83" s="13" t="s">
        <v>65</v>
      </c>
      <c r="V83" s="13" t="s">
        <v>163</v>
      </c>
      <c r="W83" s="13">
        <v>1</v>
      </c>
    </row>
    <row r="84" spans="1:23">
      <c r="A84" s="1">
        <v>11010606</v>
      </c>
      <c r="B84" s="13" t="s">
        <v>171</v>
      </c>
      <c r="C84" s="1" t="str">
        <f t="shared" si="101"/>
        <v>item_11010606</v>
      </c>
      <c r="D84" s="1" t="str">
        <f t="shared" si="102"/>
        <v>item_desc_11010606</v>
      </c>
      <c r="E84" s="1" t="str">
        <f t="shared" si="98"/>
        <v>item_11010606</v>
      </c>
      <c r="F84" s="1" t="str">
        <f t="shared" si="103"/>
        <v>110106</v>
      </c>
      <c r="G84" s="18">
        <f t="shared" si="104"/>
        <v>6</v>
      </c>
      <c r="H84" s="18">
        <f t="shared" si="105"/>
        <v>1</v>
      </c>
      <c r="I84" s="1"/>
      <c r="J84" s="1">
        <f t="shared" si="106"/>
        <v>11010607</v>
      </c>
      <c r="K84" s="1" t="str">
        <f t="shared" si="107"/>
        <v/>
      </c>
      <c r="L84" s="1" t="s">
        <v>50</v>
      </c>
      <c r="M84" s="13" t="s">
        <v>172</v>
      </c>
      <c r="N84" s="13" t="s">
        <v>84</v>
      </c>
      <c r="Q84" s="13" t="s">
        <v>85</v>
      </c>
      <c r="S84" s="13" t="s">
        <v>86</v>
      </c>
      <c r="T84" s="13" t="s">
        <v>83</v>
      </c>
      <c r="U84" s="13" t="s">
        <v>65</v>
      </c>
      <c r="V84" s="13" t="s">
        <v>163</v>
      </c>
      <c r="W84" s="13">
        <v>1</v>
      </c>
    </row>
    <row r="85" spans="1:23">
      <c r="A85" s="1">
        <v>11010607</v>
      </c>
      <c r="B85" s="13" t="s">
        <v>173</v>
      </c>
      <c r="C85" s="1" t="str">
        <f t="shared" ref="C85:C88" si="108">"item_"&amp;A85</f>
        <v>item_11010607</v>
      </c>
      <c r="D85" s="1" t="str">
        <f t="shared" ref="D85:D88" si="109">"item_desc_"&amp;A85</f>
        <v>item_desc_11010607</v>
      </c>
      <c r="E85" s="1" t="str">
        <f t="shared" si="98"/>
        <v>item_11010607</v>
      </c>
      <c r="F85" s="1" t="str">
        <f t="shared" ref="F85:F88" si="110">LEFT(A85,6)</f>
        <v>110106</v>
      </c>
      <c r="G85" s="18">
        <f t="shared" ref="G85:G88" si="111">IF(LEFT(A85,6)=LEFT(A84,6),G84+1,1)</f>
        <v>7</v>
      </c>
      <c r="H85" s="18">
        <f t="shared" si="105"/>
        <v>1</v>
      </c>
      <c r="I85" s="1"/>
      <c r="J85" s="1">
        <f t="shared" si="106"/>
        <v>11010608</v>
      </c>
      <c r="K85" s="1" t="str">
        <f t="shared" si="107"/>
        <v/>
      </c>
      <c r="L85" s="1" t="s">
        <v>50</v>
      </c>
      <c r="M85" s="13" t="s">
        <v>174</v>
      </c>
      <c r="N85" s="13" t="s">
        <v>89</v>
      </c>
      <c r="Q85" s="13" t="s">
        <v>90</v>
      </c>
      <c r="S85" s="13" t="s">
        <v>91</v>
      </c>
      <c r="T85" s="13" t="s">
        <v>88</v>
      </c>
      <c r="U85" s="13" t="s">
        <v>65</v>
      </c>
      <c r="V85" s="13" t="s">
        <v>163</v>
      </c>
      <c r="W85" s="13">
        <v>2</v>
      </c>
    </row>
    <row r="86" spans="1:23">
      <c r="A86" s="1">
        <v>11010608</v>
      </c>
      <c r="B86" s="13" t="s">
        <v>175</v>
      </c>
      <c r="C86" s="1" t="str">
        <f t="shared" si="108"/>
        <v>item_11010608</v>
      </c>
      <c r="D86" s="1" t="str">
        <f t="shared" si="109"/>
        <v>item_desc_11010608</v>
      </c>
      <c r="E86" s="1" t="str">
        <f t="shared" si="98"/>
        <v>item_11010608</v>
      </c>
      <c r="F86" s="1" t="str">
        <f t="shared" si="110"/>
        <v>110106</v>
      </c>
      <c r="G86" s="18">
        <f t="shared" si="111"/>
        <v>8</v>
      </c>
      <c r="H86" s="18">
        <f t="shared" si="105"/>
        <v>1</v>
      </c>
      <c r="J86" s="1">
        <f t="shared" si="106"/>
        <v>11010609</v>
      </c>
      <c r="K86" s="1" t="str">
        <f t="shared" si="107"/>
        <v/>
      </c>
      <c r="L86" s="1" t="s">
        <v>50</v>
      </c>
      <c r="M86" s="13" t="s">
        <v>176</v>
      </c>
      <c r="N86" s="13" t="s">
        <v>94</v>
      </c>
      <c r="Q86" s="13" t="s">
        <v>95</v>
      </c>
      <c r="S86" s="13" t="s">
        <v>96</v>
      </c>
      <c r="T86" s="13" t="s">
        <v>93</v>
      </c>
      <c r="U86" s="13" t="s">
        <v>65</v>
      </c>
      <c r="V86" s="13" t="s">
        <v>163</v>
      </c>
      <c r="W86" s="13">
        <v>2</v>
      </c>
    </row>
    <row r="87" s="2" customFormat="1" spans="1:23">
      <c r="A87" s="3">
        <v>11010609</v>
      </c>
      <c r="B87" s="2" t="s">
        <v>177</v>
      </c>
      <c r="C87" s="3" t="str">
        <f t="shared" si="108"/>
        <v>item_11010609</v>
      </c>
      <c r="D87" s="3" t="str">
        <f t="shared" si="109"/>
        <v>item_desc_11010609</v>
      </c>
      <c r="E87" s="3" t="str">
        <f t="shared" si="98"/>
        <v>item_11010609</v>
      </c>
      <c r="F87" s="3" t="str">
        <f t="shared" si="110"/>
        <v>110106</v>
      </c>
      <c r="G87" s="3">
        <f t="shared" si="111"/>
        <v>9</v>
      </c>
      <c r="H87" s="3">
        <f t="shared" si="105"/>
        <v>1</v>
      </c>
      <c r="J87" s="3" t="str">
        <f t="shared" si="106"/>
        <v/>
      </c>
      <c r="K87" s="3" t="str">
        <f t="shared" si="107"/>
        <v/>
      </c>
      <c r="L87" s="3" t="s">
        <v>50</v>
      </c>
      <c r="M87" s="2" t="s">
        <v>178</v>
      </c>
      <c r="N87" s="2" t="s">
        <v>99</v>
      </c>
      <c r="Q87" s="2" t="s">
        <v>100</v>
      </c>
      <c r="S87" s="2" t="s">
        <v>179</v>
      </c>
      <c r="T87" s="2" t="s">
        <v>98</v>
      </c>
      <c r="U87" s="2" t="s">
        <v>65</v>
      </c>
      <c r="V87" s="2" t="s">
        <v>163</v>
      </c>
      <c r="W87" s="2">
        <v>2</v>
      </c>
    </row>
    <row r="88" spans="1:20">
      <c r="A88" s="13">
        <v>11060101</v>
      </c>
      <c r="B88" s="13" t="s">
        <v>180</v>
      </c>
      <c r="C88" s="1" t="str">
        <f t="shared" si="108"/>
        <v>item_11060101</v>
      </c>
      <c r="D88" s="1" t="str">
        <f t="shared" si="109"/>
        <v>item_desc_11060101</v>
      </c>
      <c r="E88" s="1" t="str">
        <f t="shared" si="98"/>
        <v>item_11060101</v>
      </c>
      <c r="F88" s="1" t="str">
        <f t="shared" si="110"/>
        <v>110601</v>
      </c>
      <c r="G88" s="18">
        <f t="shared" si="111"/>
        <v>1</v>
      </c>
      <c r="H88" s="18">
        <f t="shared" si="105"/>
        <v>6</v>
      </c>
      <c r="I88" s="1" t="s">
        <v>181</v>
      </c>
      <c r="J88" s="1">
        <f t="shared" si="106"/>
        <v>11060102</v>
      </c>
      <c r="T88" s="13" t="s">
        <v>50</v>
      </c>
    </row>
    <row r="89" spans="1:23">
      <c r="A89" s="13">
        <v>11060102</v>
      </c>
      <c r="B89" s="13" t="s">
        <v>182</v>
      </c>
      <c r="C89" s="1" t="str">
        <f t="shared" ref="C89:C93" si="112">"item_"&amp;A89</f>
        <v>item_11060102</v>
      </c>
      <c r="D89" s="1" t="str">
        <f t="shared" ref="D89:D93" si="113">"item_desc_"&amp;A89</f>
        <v>item_desc_11060102</v>
      </c>
      <c r="E89" s="1" t="str">
        <f t="shared" ref="E89:E93" si="114">"item_"&amp;A89</f>
        <v>item_11060102</v>
      </c>
      <c r="F89" s="1" t="str">
        <f t="shared" ref="F89:F93" si="115">LEFT(A89,6)</f>
        <v>110601</v>
      </c>
      <c r="G89" s="18">
        <f t="shared" ref="G89:G93" si="116">IF(LEFT(A89,6)=LEFT(A88,6),G88+1,1)</f>
        <v>2</v>
      </c>
      <c r="H89" s="18">
        <f t="shared" ref="H89:H93" si="117">VALUE(MID(A89,4,1))</f>
        <v>6</v>
      </c>
      <c r="I89" s="1" t="s">
        <v>183</v>
      </c>
      <c r="J89" s="1">
        <f t="shared" ref="J89:J93" si="118">IF(A90-A89=1,A90,"")</f>
        <v>11060103</v>
      </c>
      <c r="T89" s="13" t="s">
        <v>50</v>
      </c>
      <c r="W89" s="13">
        <v>1</v>
      </c>
    </row>
    <row r="90" spans="1:23">
      <c r="A90" s="13">
        <v>11060103</v>
      </c>
      <c r="B90" s="13" t="s">
        <v>184</v>
      </c>
      <c r="C90" s="1" t="str">
        <f t="shared" si="112"/>
        <v>item_11060103</v>
      </c>
      <c r="D90" s="1" t="str">
        <f t="shared" si="113"/>
        <v>item_desc_11060103</v>
      </c>
      <c r="E90" s="1" t="str">
        <f t="shared" si="114"/>
        <v>item_11060103</v>
      </c>
      <c r="F90" s="1" t="str">
        <f t="shared" si="115"/>
        <v>110601</v>
      </c>
      <c r="G90" s="18">
        <f t="shared" si="116"/>
        <v>3</v>
      </c>
      <c r="H90" s="18">
        <f t="shared" si="117"/>
        <v>6</v>
      </c>
      <c r="I90" s="1" t="s">
        <v>185</v>
      </c>
      <c r="J90" s="1">
        <f t="shared" si="118"/>
        <v>11060104</v>
      </c>
      <c r="T90" s="13" t="s">
        <v>50</v>
      </c>
      <c r="W90" s="13">
        <v>1</v>
      </c>
    </row>
    <row r="91" spans="1:23">
      <c r="A91" s="13">
        <v>11060104</v>
      </c>
      <c r="B91" s="13" t="s">
        <v>186</v>
      </c>
      <c r="C91" s="1" t="str">
        <f t="shared" si="112"/>
        <v>item_11060104</v>
      </c>
      <c r="D91" s="1" t="str">
        <f t="shared" si="113"/>
        <v>item_desc_11060104</v>
      </c>
      <c r="E91" s="1" t="str">
        <f t="shared" si="114"/>
        <v>item_11060104</v>
      </c>
      <c r="F91" s="1" t="str">
        <f t="shared" si="115"/>
        <v>110601</v>
      </c>
      <c r="G91" s="18">
        <f t="shared" si="116"/>
        <v>4</v>
      </c>
      <c r="H91" s="18">
        <f t="shared" si="117"/>
        <v>6</v>
      </c>
      <c r="I91" s="1" t="s">
        <v>187</v>
      </c>
      <c r="J91" s="1">
        <f t="shared" si="118"/>
        <v>11060105</v>
      </c>
      <c r="T91" s="13" t="s">
        <v>50</v>
      </c>
      <c r="W91" s="13">
        <v>1</v>
      </c>
    </row>
    <row r="92" s="2" customFormat="1" spans="1:23">
      <c r="A92" s="2">
        <v>11060105</v>
      </c>
      <c r="B92" s="2" t="s">
        <v>188</v>
      </c>
      <c r="C92" s="3" t="str">
        <f t="shared" si="112"/>
        <v>item_11060105</v>
      </c>
      <c r="D92" s="3" t="str">
        <f t="shared" si="113"/>
        <v>item_desc_11060105</v>
      </c>
      <c r="E92" s="3" t="str">
        <f t="shared" si="114"/>
        <v>item_11060105</v>
      </c>
      <c r="F92" s="3" t="str">
        <f t="shared" si="115"/>
        <v>110601</v>
      </c>
      <c r="G92" s="3">
        <f t="shared" si="116"/>
        <v>5</v>
      </c>
      <c r="H92" s="3">
        <f t="shared" si="117"/>
        <v>6</v>
      </c>
      <c r="I92" s="3" t="s">
        <v>94</v>
      </c>
      <c r="J92" s="3" t="str">
        <f t="shared" si="118"/>
        <v/>
      </c>
      <c r="T92" s="2" t="s">
        <v>50</v>
      </c>
      <c r="W92" s="2">
        <v>2</v>
      </c>
    </row>
    <row r="93" spans="1:20">
      <c r="A93" s="13">
        <v>11060201</v>
      </c>
      <c r="B93" s="13" t="s">
        <v>189</v>
      </c>
      <c r="C93" s="1" t="str">
        <f t="shared" si="112"/>
        <v>item_11060201</v>
      </c>
      <c r="D93" s="1" t="str">
        <f t="shared" si="113"/>
        <v>item_desc_11060201</v>
      </c>
      <c r="E93" s="1" t="str">
        <f t="shared" si="114"/>
        <v>item_11060201</v>
      </c>
      <c r="F93" s="1" t="str">
        <f t="shared" si="115"/>
        <v>110602</v>
      </c>
      <c r="G93" s="18">
        <f t="shared" si="116"/>
        <v>1</v>
      </c>
      <c r="H93" s="18">
        <f t="shared" si="117"/>
        <v>6</v>
      </c>
      <c r="I93" s="1" t="s">
        <v>190</v>
      </c>
      <c r="J93" s="1">
        <f t="shared" si="118"/>
        <v>11060202</v>
      </c>
      <c r="T93" s="13" t="s">
        <v>50</v>
      </c>
    </row>
    <row r="94" spans="1:23">
      <c r="A94" s="13">
        <v>11060202</v>
      </c>
      <c r="B94" s="13" t="s">
        <v>191</v>
      </c>
      <c r="C94" s="1" t="str">
        <f t="shared" ref="C94:C98" si="119">"item_"&amp;A94</f>
        <v>item_11060202</v>
      </c>
      <c r="D94" s="1" t="str">
        <f t="shared" ref="D94:D98" si="120">"item_desc_"&amp;A94</f>
        <v>item_desc_11060202</v>
      </c>
      <c r="E94" s="1" t="str">
        <f t="shared" ref="E94:E98" si="121">"item_"&amp;A94</f>
        <v>item_11060202</v>
      </c>
      <c r="F94" s="1" t="str">
        <f t="shared" ref="F94:F98" si="122">LEFT(A94,6)</f>
        <v>110602</v>
      </c>
      <c r="G94" s="18">
        <f t="shared" ref="G94:G98" si="123">IF(LEFT(A94,6)=LEFT(A93,6),G93+1,1)</f>
        <v>2</v>
      </c>
      <c r="H94" s="18">
        <f t="shared" ref="H94:H98" si="124">VALUE(MID(A94,4,1))</f>
        <v>6</v>
      </c>
      <c r="I94" s="1" t="s">
        <v>192</v>
      </c>
      <c r="J94" s="1">
        <f t="shared" ref="J94:J98" si="125">IF(A95-A94=1,A95,"")</f>
        <v>11060203</v>
      </c>
      <c r="T94" s="13" t="s">
        <v>50</v>
      </c>
      <c r="W94" s="13">
        <v>1</v>
      </c>
    </row>
    <row r="95" spans="1:23">
      <c r="A95" s="13">
        <v>11060203</v>
      </c>
      <c r="B95" s="13" t="s">
        <v>193</v>
      </c>
      <c r="C95" s="1" t="str">
        <f t="shared" si="119"/>
        <v>item_11060203</v>
      </c>
      <c r="D95" s="1" t="str">
        <f t="shared" si="120"/>
        <v>item_desc_11060203</v>
      </c>
      <c r="E95" s="1" t="str">
        <f t="shared" si="121"/>
        <v>item_11060203</v>
      </c>
      <c r="F95" s="1" t="str">
        <f t="shared" si="122"/>
        <v>110602</v>
      </c>
      <c r="G95" s="18">
        <f t="shared" si="123"/>
        <v>3</v>
      </c>
      <c r="H95" s="18">
        <f t="shared" si="124"/>
        <v>6</v>
      </c>
      <c r="I95" s="1" t="s">
        <v>194</v>
      </c>
      <c r="J95" s="1">
        <f t="shared" si="125"/>
        <v>11060204</v>
      </c>
      <c r="T95" s="13" t="s">
        <v>50</v>
      </c>
      <c r="W95" s="13">
        <v>1</v>
      </c>
    </row>
    <row r="96" spans="1:23">
      <c r="A96" s="13">
        <v>11060204</v>
      </c>
      <c r="B96" s="13" t="s">
        <v>195</v>
      </c>
      <c r="C96" s="1" t="str">
        <f t="shared" si="119"/>
        <v>item_11060204</v>
      </c>
      <c r="D96" s="1" t="str">
        <f t="shared" si="120"/>
        <v>item_desc_11060204</v>
      </c>
      <c r="E96" s="1" t="str">
        <f t="shared" si="121"/>
        <v>item_11060204</v>
      </c>
      <c r="F96" s="1" t="str">
        <f t="shared" si="122"/>
        <v>110602</v>
      </c>
      <c r="G96" s="18">
        <f t="shared" si="123"/>
        <v>4</v>
      </c>
      <c r="H96" s="18">
        <f t="shared" si="124"/>
        <v>6</v>
      </c>
      <c r="I96" s="1" t="s">
        <v>196</v>
      </c>
      <c r="J96" s="1">
        <f t="shared" si="125"/>
        <v>11060205</v>
      </c>
      <c r="T96" s="13" t="s">
        <v>50</v>
      </c>
      <c r="W96" s="13">
        <v>1</v>
      </c>
    </row>
    <row r="97" s="2" customFormat="1" spans="1:23">
      <c r="A97" s="2">
        <v>11060205</v>
      </c>
      <c r="B97" s="2" t="s">
        <v>197</v>
      </c>
      <c r="C97" s="3" t="str">
        <f t="shared" si="119"/>
        <v>item_11060205</v>
      </c>
      <c r="D97" s="3" t="str">
        <f t="shared" si="120"/>
        <v>item_desc_11060205</v>
      </c>
      <c r="E97" s="3" t="str">
        <f t="shared" si="121"/>
        <v>item_11060205</v>
      </c>
      <c r="F97" s="3" t="str">
        <f t="shared" si="122"/>
        <v>110602</v>
      </c>
      <c r="G97" s="3">
        <f t="shared" si="123"/>
        <v>5</v>
      </c>
      <c r="H97" s="3">
        <f t="shared" si="124"/>
        <v>6</v>
      </c>
      <c r="I97" s="3" t="s">
        <v>198</v>
      </c>
      <c r="J97" s="3" t="str">
        <f t="shared" si="125"/>
        <v/>
      </c>
      <c r="T97" s="2" t="s">
        <v>50</v>
      </c>
      <c r="W97" s="2">
        <v>2</v>
      </c>
    </row>
    <row r="98" spans="1:20">
      <c r="A98" s="13">
        <v>11060301</v>
      </c>
      <c r="B98" s="13" t="s">
        <v>199</v>
      </c>
      <c r="C98" s="1" t="str">
        <f t="shared" si="119"/>
        <v>item_11060301</v>
      </c>
      <c r="D98" s="1" t="str">
        <f t="shared" si="120"/>
        <v>item_desc_11060301</v>
      </c>
      <c r="E98" s="1" t="str">
        <f t="shared" si="121"/>
        <v>item_11060301</v>
      </c>
      <c r="F98" s="1" t="str">
        <f t="shared" si="122"/>
        <v>110603</v>
      </c>
      <c r="G98" s="18">
        <f t="shared" si="123"/>
        <v>1</v>
      </c>
      <c r="H98" s="18">
        <f t="shared" si="124"/>
        <v>6</v>
      </c>
      <c r="I98" s="1" t="s">
        <v>162</v>
      </c>
      <c r="J98" s="1">
        <f t="shared" si="125"/>
        <v>11060302</v>
      </c>
      <c r="T98" s="13" t="s">
        <v>50</v>
      </c>
    </row>
    <row r="99" spans="1:23">
      <c r="A99" s="13">
        <v>11060302</v>
      </c>
      <c r="B99" s="13" t="s">
        <v>200</v>
      </c>
      <c r="C99" s="1" t="str">
        <f t="shared" ref="C99:C101" si="126">"item_"&amp;A99</f>
        <v>item_11060302</v>
      </c>
      <c r="D99" s="1" t="str">
        <f t="shared" ref="D99:D101" si="127">"item_desc_"&amp;A99</f>
        <v>item_desc_11060302</v>
      </c>
      <c r="E99" s="1" t="str">
        <f t="shared" ref="E99:E101" si="128">"item_"&amp;A99</f>
        <v>item_11060302</v>
      </c>
      <c r="F99" s="1" t="str">
        <f t="shared" ref="F99:F107" si="129">LEFT(A99,6)</f>
        <v>110603</v>
      </c>
      <c r="G99" s="18">
        <f t="shared" ref="G99:G101" si="130">IF(LEFT(A99,6)=LEFT(A98,6),G98+1,1)</f>
        <v>2</v>
      </c>
      <c r="H99" s="18">
        <f t="shared" ref="H99:H101" si="131">VALUE(MID(A99,4,1))</f>
        <v>6</v>
      </c>
      <c r="I99" s="1" t="s">
        <v>68</v>
      </c>
      <c r="J99" s="1">
        <f t="shared" ref="J99:J101" si="132">IF(A100-A99=1,A100,"")</f>
        <v>11060303</v>
      </c>
      <c r="T99" s="13" t="s">
        <v>50</v>
      </c>
      <c r="W99" s="13">
        <v>1</v>
      </c>
    </row>
    <row r="100" spans="1:23">
      <c r="A100" s="13">
        <v>11060303</v>
      </c>
      <c r="B100" s="13" t="s">
        <v>201</v>
      </c>
      <c r="C100" s="1" t="str">
        <f t="shared" si="126"/>
        <v>item_11060303</v>
      </c>
      <c r="D100" s="1" t="str">
        <f t="shared" si="127"/>
        <v>item_desc_11060303</v>
      </c>
      <c r="E100" s="1" t="str">
        <f t="shared" si="128"/>
        <v>item_11060303</v>
      </c>
      <c r="F100" s="1" t="str">
        <f t="shared" si="129"/>
        <v>110603</v>
      </c>
      <c r="G100" s="18">
        <f t="shared" si="130"/>
        <v>3</v>
      </c>
      <c r="H100" s="18">
        <f t="shared" si="131"/>
        <v>6</v>
      </c>
      <c r="I100" s="1" t="s">
        <v>202</v>
      </c>
      <c r="J100" s="1">
        <f t="shared" si="132"/>
        <v>11060304</v>
      </c>
      <c r="T100" s="13" t="s">
        <v>50</v>
      </c>
      <c r="W100" s="13">
        <v>1</v>
      </c>
    </row>
    <row r="101" s="2" customFormat="1" spans="1:23">
      <c r="A101" s="2">
        <v>11060304</v>
      </c>
      <c r="B101" s="2" t="s">
        <v>203</v>
      </c>
      <c r="C101" s="3" t="str">
        <f t="shared" si="126"/>
        <v>item_11060304</v>
      </c>
      <c r="D101" s="3" t="str">
        <f t="shared" si="127"/>
        <v>item_desc_11060304</v>
      </c>
      <c r="E101" s="3" t="str">
        <f t="shared" si="128"/>
        <v>item_11060304</v>
      </c>
      <c r="F101" s="3" t="str">
        <f t="shared" si="129"/>
        <v>110603</v>
      </c>
      <c r="G101" s="3">
        <f t="shared" si="130"/>
        <v>4</v>
      </c>
      <c r="H101" s="3">
        <f t="shared" si="131"/>
        <v>6</v>
      </c>
      <c r="I101" s="3" t="s">
        <v>204</v>
      </c>
      <c r="J101" s="3" t="str">
        <f t="shared" si="132"/>
        <v/>
      </c>
      <c r="T101" s="2" t="s">
        <v>50</v>
      </c>
      <c r="W101" s="2">
        <v>2</v>
      </c>
    </row>
    <row r="102" spans="1:8">
      <c r="A102" s="13">
        <v>11030101</v>
      </c>
      <c r="B102" s="13" t="s">
        <v>205</v>
      </c>
      <c r="C102" s="1" t="str">
        <f t="shared" ref="C102:C104" si="133">"item_"&amp;A102</f>
        <v>item_11030101</v>
      </c>
      <c r="D102" s="1" t="str">
        <f t="shared" ref="D102:D104" si="134">"item_desc_"&amp;A102</f>
        <v>item_desc_11030101</v>
      </c>
      <c r="E102" s="1" t="str">
        <f t="shared" ref="E102:E104" si="135">"item_"&amp;A102</f>
        <v>item_11030101</v>
      </c>
      <c r="F102" s="1" t="str">
        <f t="shared" si="129"/>
        <v>110301</v>
      </c>
      <c r="G102" s="13">
        <v>1</v>
      </c>
      <c r="H102" s="13">
        <v>3</v>
      </c>
    </row>
    <row r="103" s="2" customFormat="1" spans="1:23">
      <c r="A103" s="2">
        <v>11030201</v>
      </c>
      <c r="B103" s="2" t="s">
        <v>206</v>
      </c>
      <c r="C103" s="3" t="str">
        <f t="shared" si="133"/>
        <v>item_11030201</v>
      </c>
      <c r="D103" s="3" t="str">
        <f t="shared" si="134"/>
        <v>item_desc_11030201</v>
      </c>
      <c r="E103" s="3" t="str">
        <f t="shared" si="135"/>
        <v>item_11030201</v>
      </c>
      <c r="F103" s="3" t="str">
        <f t="shared" si="129"/>
        <v>110302</v>
      </c>
      <c r="G103" s="2">
        <v>1</v>
      </c>
      <c r="H103" s="2">
        <v>3</v>
      </c>
      <c r="W103" s="2">
        <v>2</v>
      </c>
    </row>
    <row r="104" s="1" customFormat="1" spans="1:10">
      <c r="A104" s="1">
        <v>11030301</v>
      </c>
      <c r="B104" s="1" t="s">
        <v>207</v>
      </c>
      <c r="C104" s="1" t="str">
        <f t="shared" si="133"/>
        <v>item_11030301</v>
      </c>
      <c r="D104" s="1" t="str">
        <f t="shared" si="134"/>
        <v>item_desc_11030301</v>
      </c>
      <c r="E104" s="1" t="str">
        <f t="shared" si="135"/>
        <v>item_11030301</v>
      </c>
      <c r="F104" s="1" t="str">
        <f t="shared" si="129"/>
        <v>110303</v>
      </c>
      <c r="G104" s="1">
        <v>1</v>
      </c>
      <c r="H104" s="1">
        <v>3</v>
      </c>
      <c r="J104" s="1">
        <v>11030302</v>
      </c>
    </row>
    <row r="105" s="2" customFormat="1" spans="1:23">
      <c r="A105" s="3">
        <v>11030302</v>
      </c>
      <c r="B105" s="3" t="s">
        <v>208</v>
      </c>
      <c r="C105" s="3" t="str">
        <f t="shared" ref="C105:C168" si="136">"item_"&amp;A105</f>
        <v>item_11030302</v>
      </c>
      <c r="D105" s="3" t="str">
        <f t="shared" ref="D105:D168" si="137">"item_desc_"&amp;A105</f>
        <v>item_desc_11030302</v>
      </c>
      <c r="E105" s="3" t="str">
        <f t="shared" ref="E105:E168" si="138">"item_"&amp;A105</f>
        <v>item_11030302</v>
      </c>
      <c r="F105" s="3" t="str">
        <f t="shared" si="129"/>
        <v>110303</v>
      </c>
      <c r="G105" s="2">
        <v>2</v>
      </c>
      <c r="H105" s="2">
        <v>3</v>
      </c>
      <c r="W105" s="2">
        <v>2</v>
      </c>
    </row>
    <row r="106" s="1" customFormat="1" spans="1:10">
      <c r="A106" s="1">
        <v>11030401</v>
      </c>
      <c r="B106" s="1" t="s">
        <v>209</v>
      </c>
      <c r="C106" s="1" t="str">
        <f t="shared" si="136"/>
        <v>item_11030401</v>
      </c>
      <c r="D106" s="1" t="str">
        <f t="shared" si="137"/>
        <v>item_desc_11030401</v>
      </c>
      <c r="E106" s="1" t="str">
        <f t="shared" si="138"/>
        <v>item_11030401</v>
      </c>
      <c r="F106" s="1" t="str">
        <f t="shared" si="129"/>
        <v>110304</v>
      </c>
      <c r="G106" s="1">
        <v>1</v>
      </c>
      <c r="H106" s="1">
        <v>3</v>
      </c>
      <c r="J106" s="1">
        <v>11030402</v>
      </c>
    </row>
    <row r="107" s="2" customFormat="1" spans="1:23">
      <c r="A107" s="3">
        <v>11030402</v>
      </c>
      <c r="B107" s="3" t="s">
        <v>210</v>
      </c>
      <c r="C107" s="3" t="str">
        <f t="shared" si="136"/>
        <v>item_11030402</v>
      </c>
      <c r="D107" s="3" t="str">
        <f t="shared" si="137"/>
        <v>item_desc_11030402</v>
      </c>
      <c r="E107" s="3" t="str">
        <f t="shared" si="138"/>
        <v>item_11030402</v>
      </c>
      <c r="F107" s="3" t="str">
        <f t="shared" si="129"/>
        <v>110304</v>
      </c>
      <c r="G107" s="2">
        <v>2</v>
      </c>
      <c r="H107" s="2">
        <v>3</v>
      </c>
      <c r="W107" s="2">
        <v>2</v>
      </c>
    </row>
    <row r="108" spans="1:14">
      <c r="A108" s="13">
        <v>11040101</v>
      </c>
      <c r="B108" s="13" t="s">
        <v>211</v>
      </c>
      <c r="C108" s="1" t="str">
        <f t="shared" si="136"/>
        <v>item_11040101</v>
      </c>
      <c r="D108" s="1" t="str">
        <f t="shared" si="137"/>
        <v>item_desc_11040101</v>
      </c>
      <c r="E108" s="1" t="str">
        <f t="shared" si="138"/>
        <v>item_11040101</v>
      </c>
      <c r="F108" s="1">
        <v>11040101</v>
      </c>
      <c r="G108" s="13">
        <v>2</v>
      </c>
      <c r="H108" s="13">
        <v>4</v>
      </c>
      <c r="N108" s="13" t="s">
        <v>69</v>
      </c>
    </row>
    <row r="109" spans="1:14">
      <c r="A109" s="13">
        <v>11040102</v>
      </c>
      <c r="B109" s="13" t="s">
        <v>212</v>
      </c>
      <c r="C109" s="1" t="str">
        <f t="shared" si="136"/>
        <v>item_11040102</v>
      </c>
      <c r="D109" s="1" t="str">
        <f t="shared" si="137"/>
        <v>item_desc_11040102</v>
      </c>
      <c r="E109" s="1" t="str">
        <f t="shared" si="138"/>
        <v>item_11040102</v>
      </c>
      <c r="F109" s="1">
        <v>11040102</v>
      </c>
      <c r="G109" s="13">
        <v>4</v>
      </c>
      <c r="H109" s="13">
        <v>4</v>
      </c>
      <c r="N109" s="13" t="s">
        <v>75</v>
      </c>
    </row>
    <row r="110" spans="1:14">
      <c r="A110" s="13">
        <v>11040103</v>
      </c>
      <c r="B110" s="13" t="s">
        <v>213</v>
      </c>
      <c r="C110" s="1" t="str">
        <f t="shared" si="136"/>
        <v>item_11040103</v>
      </c>
      <c r="D110" s="1" t="str">
        <f t="shared" si="137"/>
        <v>item_desc_11040103</v>
      </c>
      <c r="E110" s="1" t="str">
        <f t="shared" si="138"/>
        <v>item_11040103</v>
      </c>
      <c r="F110" s="1">
        <v>11040103</v>
      </c>
      <c r="G110" s="13">
        <v>6</v>
      </c>
      <c r="H110" s="13">
        <v>4</v>
      </c>
      <c r="N110" s="13" t="s">
        <v>84</v>
      </c>
    </row>
    <row r="111" spans="1:14">
      <c r="A111" s="13">
        <v>11040104</v>
      </c>
      <c r="B111" s="13" t="s">
        <v>214</v>
      </c>
      <c r="C111" s="1" t="str">
        <f t="shared" si="136"/>
        <v>item_11040104</v>
      </c>
      <c r="D111" s="1" t="str">
        <f t="shared" si="137"/>
        <v>item_desc_11040104</v>
      </c>
      <c r="E111" s="1" t="str">
        <f t="shared" si="138"/>
        <v>item_11040104</v>
      </c>
      <c r="F111" s="1">
        <v>11040104</v>
      </c>
      <c r="G111" s="13">
        <v>8</v>
      </c>
      <c r="H111" s="13">
        <v>4</v>
      </c>
      <c r="N111" s="13" t="s">
        <v>94</v>
      </c>
    </row>
    <row r="112" s="4" customFormat="1" spans="1:22">
      <c r="A112" s="4">
        <v>11020601</v>
      </c>
      <c r="B112" s="4" t="s">
        <v>215</v>
      </c>
      <c r="C112" s="4" t="str">
        <f t="shared" si="136"/>
        <v>item_11020601</v>
      </c>
      <c r="D112" s="4" t="str">
        <f t="shared" si="137"/>
        <v>item_desc_11020601</v>
      </c>
      <c r="E112" s="4" t="str">
        <f t="shared" si="138"/>
        <v>item_11020601</v>
      </c>
      <c r="F112" s="4" t="str">
        <f t="shared" ref="F112:F175" si="139">LEFT(A112,6)</f>
        <v>110206</v>
      </c>
      <c r="G112" s="6">
        <f t="shared" ref="G112:G175" si="140">IF(LEFT(A112,6)=LEFT(A111,6),G111+1,1)</f>
        <v>1</v>
      </c>
      <c r="H112" s="6">
        <v>1</v>
      </c>
      <c r="J112" s="4">
        <f t="shared" ref="J112:J175" si="141">IF(A113-A112=1,A113,"")</f>
        <v>11020602</v>
      </c>
      <c r="K112" s="4">
        <f t="shared" ref="K112:K175" si="142">IF(AND(H112=1,G112&lt;=5),MAX(5,G112+2),"")</f>
        <v>5</v>
      </c>
      <c r="L112" s="4" t="s">
        <v>50</v>
      </c>
      <c r="Q112" s="4" t="s">
        <v>50</v>
      </c>
      <c r="S112" s="4" t="str">
        <f t="shared" ref="S112:S123" si="143">IF(AND(H112=1,G112&gt;4),1,"")</f>
        <v/>
      </c>
      <c r="T112" s="4" t="s">
        <v>50</v>
      </c>
      <c r="V112" s="4" t="s">
        <v>50</v>
      </c>
    </row>
    <row r="113" s="4" customFormat="1" spans="1:22">
      <c r="A113" s="4">
        <v>11020602</v>
      </c>
      <c r="B113" s="4" t="s">
        <v>216</v>
      </c>
      <c r="C113" s="4" t="str">
        <f t="shared" si="136"/>
        <v>item_11020602</v>
      </c>
      <c r="D113" s="4" t="str">
        <f t="shared" si="137"/>
        <v>item_desc_11020602</v>
      </c>
      <c r="E113" s="4" t="str">
        <f t="shared" si="138"/>
        <v>item_11020602</v>
      </c>
      <c r="F113" s="4" t="str">
        <f t="shared" si="139"/>
        <v>110206</v>
      </c>
      <c r="G113" s="6">
        <f t="shared" si="140"/>
        <v>2</v>
      </c>
      <c r="H113" s="6">
        <v>1</v>
      </c>
      <c r="J113" s="4">
        <f t="shared" si="141"/>
        <v>11020603</v>
      </c>
      <c r="K113" s="4">
        <f t="shared" si="142"/>
        <v>5</v>
      </c>
      <c r="L113" s="4" t="s">
        <v>50</v>
      </c>
      <c r="S113" s="4" t="str">
        <f t="shared" si="143"/>
        <v/>
      </c>
      <c r="T113" s="4" t="s">
        <v>50</v>
      </c>
      <c r="V113" s="4" t="s">
        <v>50</v>
      </c>
    </row>
    <row r="114" s="4" customFormat="1" spans="1:22">
      <c r="A114" s="4">
        <v>11020603</v>
      </c>
      <c r="B114" s="4" t="s">
        <v>217</v>
      </c>
      <c r="C114" s="4" t="str">
        <f t="shared" si="136"/>
        <v>item_11020603</v>
      </c>
      <c r="D114" s="4" t="str">
        <f t="shared" si="137"/>
        <v>item_desc_11020603</v>
      </c>
      <c r="E114" s="4" t="str">
        <f t="shared" si="138"/>
        <v>item_11020603</v>
      </c>
      <c r="F114" s="4" t="str">
        <f t="shared" si="139"/>
        <v>110206</v>
      </c>
      <c r="G114" s="6">
        <f t="shared" si="140"/>
        <v>3</v>
      </c>
      <c r="H114" s="6">
        <v>1</v>
      </c>
      <c r="J114" s="4">
        <f t="shared" si="141"/>
        <v>11020604</v>
      </c>
      <c r="K114" s="4">
        <f t="shared" si="142"/>
        <v>5</v>
      </c>
      <c r="L114" s="4" t="s">
        <v>50</v>
      </c>
      <c r="S114" s="4" t="str">
        <f t="shared" si="143"/>
        <v/>
      </c>
      <c r="T114" s="4" t="s">
        <v>50</v>
      </c>
      <c r="V114" s="4" t="s">
        <v>50</v>
      </c>
    </row>
    <row r="115" s="4" customFormat="1" spans="1:23">
      <c r="A115" s="4">
        <v>11020604</v>
      </c>
      <c r="B115" s="4" t="s">
        <v>218</v>
      </c>
      <c r="C115" s="4" t="str">
        <f t="shared" si="136"/>
        <v>item_11020604</v>
      </c>
      <c r="D115" s="4" t="str">
        <f t="shared" si="137"/>
        <v>item_desc_11020604</v>
      </c>
      <c r="E115" s="4" t="str">
        <f t="shared" si="138"/>
        <v>item_11020604</v>
      </c>
      <c r="F115" s="4" t="str">
        <f t="shared" si="139"/>
        <v>110206</v>
      </c>
      <c r="G115" s="6">
        <f t="shared" si="140"/>
        <v>4</v>
      </c>
      <c r="H115" s="6">
        <f t="shared" ref="H115:H135" si="144">VALUE(MID(A115,4,1))</f>
        <v>2</v>
      </c>
      <c r="J115" s="4">
        <f t="shared" si="141"/>
        <v>11020605</v>
      </c>
      <c r="K115" s="4" t="str">
        <f t="shared" si="142"/>
        <v/>
      </c>
      <c r="L115" s="4" t="s">
        <v>50</v>
      </c>
      <c r="Q115" s="4" t="s">
        <v>54</v>
      </c>
      <c r="S115" s="4" t="str">
        <f t="shared" si="143"/>
        <v/>
      </c>
      <c r="T115" s="4" t="s">
        <v>50</v>
      </c>
      <c r="V115" s="4" t="s">
        <v>50</v>
      </c>
      <c r="W115" s="4">
        <v>1</v>
      </c>
    </row>
    <row r="116" s="4" customFormat="1" spans="1:23">
      <c r="A116" s="4">
        <v>11020605</v>
      </c>
      <c r="B116" s="4" t="s">
        <v>219</v>
      </c>
      <c r="C116" s="4" t="str">
        <f t="shared" si="136"/>
        <v>item_11020605</v>
      </c>
      <c r="D116" s="4" t="str">
        <f t="shared" si="137"/>
        <v>item_desc_11020605</v>
      </c>
      <c r="E116" s="4" t="str">
        <f t="shared" si="138"/>
        <v>item_11020605</v>
      </c>
      <c r="F116" s="4" t="str">
        <f t="shared" si="139"/>
        <v>110206</v>
      </c>
      <c r="G116" s="6">
        <f t="shared" si="140"/>
        <v>5</v>
      </c>
      <c r="H116" s="6">
        <f t="shared" si="144"/>
        <v>2</v>
      </c>
      <c r="J116" s="4">
        <f t="shared" si="141"/>
        <v>11020606</v>
      </c>
      <c r="K116" s="4" t="str">
        <f t="shared" si="142"/>
        <v/>
      </c>
      <c r="L116" s="4" t="s">
        <v>50</v>
      </c>
      <c r="Q116" s="4" t="s">
        <v>54</v>
      </c>
      <c r="S116" s="4" t="str">
        <f t="shared" si="143"/>
        <v/>
      </c>
      <c r="T116" s="4" t="s">
        <v>50</v>
      </c>
      <c r="V116" s="4" t="s">
        <v>50</v>
      </c>
      <c r="W116" s="4">
        <v>1</v>
      </c>
    </row>
    <row r="117" s="4" customFormat="1" spans="1:23">
      <c r="A117" s="4">
        <v>11020606</v>
      </c>
      <c r="B117" s="4" t="s">
        <v>220</v>
      </c>
      <c r="C117" s="4" t="str">
        <f t="shared" si="136"/>
        <v>item_11020606</v>
      </c>
      <c r="D117" s="4" t="str">
        <f t="shared" si="137"/>
        <v>item_desc_11020606</v>
      </c>
      <c r="E117" s="4" t="str">
        <f t="shared" si="138"/>
        <v>item_11020606</v>
      </c>
      <c r="F117" s="4" t="str">
        <f t="shared" si="139"/>
        <v>110206</v>
      </c>
      <c r="G117" s="6">
        <f t="shared" si="140"/>
        <v>6</v>
      </c>
      <c r="H117" s="6">
        <f t="shared" si="144"/>
        <v>2</v>
      </c>
      <c r="J117" s="4">
        <f t="shared" si="141"/>
        <v>11020607</v>
      </c>
      <c r="K117" s="4" t="str">
        <f t="shared" si="142"/>
        <v/>
      </c>
      <c r="L117" s="4" t="s">
        <v>50</v>
      </c>
      <c r="Q117" s="4" t="s">
        <v>57</v>
      </c>
      <c r="S117" s="4" t="str">
        <f t="shared" si="143"/>
        <v/>
      </c>
      <c r="T117" s="4" t="s">
        <v>50</v>
      </c>
      <c r="V117" s="4" t="s">
        <v>50</v>
      </c>
      <c r="W117" s="4">
        <v>1</v>
      </c>
    </row>
    <row r="118" s="4" customFormat="1" spans="1:23">
      <c r="A118" s="4">
        <v>11020607</v>
      </c>
      <c r="B118" s="4" t="s">
        <v>221</v>
      </c>
      <c r="C118" s="4" t="str">
        <f t="shared" si="136"/>
        <v>item_11020607</v>
      </c>
      <c r="D118" s="4" t="str">
        <f t="shared" si="137"/>
        <v>item_desc_11020607</v>
      </c>
      <c r="E118" s="4" t="str">
        <f t="shared" si="138"/>
        <v>item_11020607</v>
      </c>
      <c r="F118" s="4" t="str">
        <f t="shared" si="139"/>
        <v>110206</v>
      </c>
      <c r="G118" s="6">
        <f t="shared" si="140"/>
        <v>7</v>
      </c>
      <c r="H118" s="6">
        <f t="shared" si="144"/>
        <v>2</v>
      </c>
      <c r="J118" s="4">
        <f t="shared" si="141"/>
        <v>11020608</v>
      </c>
      <c r="K118" s="4" t="str">
        <f t="shared" si="142"/>
        <v/>
      </c>
      <c r="L118" s="4" t="s">
        <v>50</v>
      </c>
      <c r="Q118" s="4" t="s">
        <v>57</v>
      </c>
      <c r="S118" s="4" t="str">
        <f t="shared" si="143"/>
        <v/>
      </c>
      <c r="T118" s="4" t="s">
        <v>50</v>
      </c>
      <c r="V118" s="4" t="s">
        <v>50</v>
      </c>
      <c r="W118" s="4">
        <v>2</v>
      </c>
    </row>
    <row r="119" s="4" customFormat="1" spans="1:23">
      <c r="A119" s="4">
        <v>11020608</v>
      </c>
      <c r="B119" s="4" t="s">
        <v>222</v>
      </c>
      <c r="C119" s="4" t="str">
        <f t="shared" si="136"/>
        <v>item_11020608</v>
      </c>
      <c r="D119" s="4" t="str">
        <f t="shared" si="137"/>
        <v>item_desc_11020608</v>
      </c>
      <c r="E119" s="4" t="str">
        <f t="shared" si="138"/>
        <v>item_11020608</v>
      </c>
      <c r="F119" s="4" t="str">
        <f t="shared" si="139"/>
        <v>110206</v>
      </c>
      <c r="G119" s="6">
        <f t="shared" si="140"/>
        <v>8</v>
      </c>
      <c r="H119" s="6">
        <f t="shared" si="144"/>
        <v>2</v>
      </c>
      <c r="J119" s="4">
        <f t="shared" si="141"/>
        <v>11020609</v>
      </c>
      <c r="K119" s="4" t="str">
        <f t="shared" si="142"/>
        <v/>
      </c>
      <c r="L119" s="4" t="s">
        <v>50</v>
      </c>
      <c r="Q119" s="4" t="s">
        <v>57</v>
      </c>
      <c r="S119" s="4" t="str">
        <f t="shared" si="143"/>
        <v/>
      </c>
      <c r="T119" s="4" t="s">
        <v>50</v>
      </c>
      <c r="V119" s="4" t="s">
        <v>50</v>
      </c>
      <c r="W119" s="4">
        <v>2</v>
      </c>
    </row>
    <row r="120" s="5" customFormat="1" spans="1:23">
      <c r="A120" s="5">
        <v>11020609</v>
      </c>
      <c r="B120" s="5" t="s">
        <v>223</v>
      </c>
      <c r="C120" s="5" t="str">
        <f t="shared" si="136"/>
        <v>item_11020609</v>
      </c>
      <c r="D120" s="5" t="str">
        <f t="shared" si="137"/>
        <v>item_desc_11020609</v>
      </c>
      <c r="E120" s="5" t="str">
        <f t="shared" si="138"/>
        <v>item_11020609</v>
      </c>
      <c r="F120" s="5" t="str">
        <f t="shared" si="139"/>
        <v>110206</v>
      </c>
      <c r="G120" s="5">
        <f t="shared" si="140"/>
        <v>9</v>
      </c>
      <c r="H120" s="5">
        <f t="shared" si="144"/>
        <v>2</v>
      </c>
      <c r="J120" s="5" t="str">
        <f t="shared" si="141"/>
        <v/>
      </c>
      <c r="K120" s="5" t="str">
        <f t="shared" si="142"/>
        <v/>
      </c>
      <c r="L120" s="5" t="s">
        <v>50</v>
      </c>
      <c r="Q120" s="5" t="s">
        <v>61</v>
      </c>
      <c r="S120" s="5" t="str">
        <f t="shared" si="143"/>
        <v/>
      </c>
      <c r="T120" s="5" t="s">
        <v>50</v>
      </c>
      <c r="V120" s="5" t="s">
        <v>50</v>
      </c>
      <c r="W120" s="5">
        <v>2</v>
      </c>
    </row>
    <row r="121" s="4" customFormat="1" spans="1:22">
      <c r="A121" s="4">
        <v>11010701</v>
      </c>
      <c r="B121" s="4" t="s">
        <v>224</v>
      </c>
      <c r="C121" s="4" t="str">
        <f t="shared" si="136"/>
        <v>item_11010701</v>
      </c>
      <c r="D121" s="4" t="str">
        <f t="shared" si="137"/>
        <v>item_desc_11010701</v>
      </c>
      <c r="E121" s="4" t="str">
        <f t="shared" si="138"/>
        <v>item_11010701</v>
      </c>
      <c r="F121" s="4" t="str">
        <f t="shared" si="139"/>
        <v>110107</v>
      </c>
      <c r="G121" s="6">
        <f t="shared" si="140"/>
        <v>1</v>
      </c>
      <c r="H121" s="6">
        <f t="shared" si="144"/>
        <v>1</v>
      </c>
      <c r="J121" s="4">
        <f t="shared" si="141"/>
        <v>11010702</v>
      </c>
      <c r="K121" s="4">
        <f t="shared" si="142"/>
        <v>5</v>
      </c>
      <c r="L121" s="4" t="s">
        <v>50</v>
      </c>
      <c r="M121" s="4" t="s">
        <v>63</v>
      </c>
      <c r="N121" s="4" t="s">
        <v>64</v>
      </c>
      <c r="Q121" s="4" t="s">
        <v>50</v>
      </c>
      <c r="S121" s="4" t="str">
        <f t="shared" si="143"/>
        <v/>
      </c>
      <c r="T121" s="4" t="s">
        <v>50</v>
      </c>
      <c r="U121" s="4" t="s">
        <v>65</v>
      </c>
      <c r="V121" s="4" t="s">
        <v>225</v>
      </c>
    </row>
    <row r="122" s="4" customFormat="1" spans="1:22">
      <c r="A122" s="4">
        <v>11010702</v>
      </c>
      <c r="B122" s="4" t="s">
        <v>226</v>
      </c>
      <c r="C122" s="4" t="str">
        <f t="shared" si="136"/>
        <v>item_11010702</v>
      </c>
      <c r="D122" s="4" t="str">
        <f t="shared" si="137"/>
        <v>item_desc_11010702</v>
      </c>
      <c r="E122" s="4" t="str">
        <f t="shared" si="138"/>
        <v>item_11010702</v>
      </c>
      <c r="F122" s="4" t="str">
        <f t="shared" si="139"/>
        <v>110107</v>
      </c>
      <c r="G122" s="6">
        <f t="shared" si="140"/>
        <v>2</v>
      </c>
      <c r="H122" s="6">
        <f t="shared" si="144"/>
        <v>1</v>
      </c>
      <c r="J122" s="4">
        <f t="shared" si="141"/>
        <v>11010703</v>
      </c>
      <c r="K122" s="4">
        <f t="shared" si="142"/>
        <v>5</v>
      </c>
      <c r="L122" s="4" t="s">
        <v>50</v>
      </c>
      <c r="M122" s="4" t="s">
        <v>166</v>
      </c>
      <c r="N122" s="4" t="s">
        <v>69</v>
      </c>
      <c r="Q122" s="4" t="s">
        <v>50</v>
      </c>
      <c r="S122" s="4" t="str">
        <f t="shared" si="143"/>
        <v/>
      </c>
      <c r="T122" s="4" t="s">
        <v>50</v>
      </c>
      <c r="U122" s="4" t="s">
        <v>65</v>
      </c>
      <c r="V122" s="4" t="s">
        <v>225</v>
      </c>
    </row>
    <row r="123" s="4" customFormat="1" spans="1:22">
      <c r="A123" s="4">
        <v>11010703</v>
      </c>
      <c r="B123" s="4" t="s">
        <v>227</v>
      </c>
      <c r="C123" s="4" t="str">
        <f t="shared" si="136"/>
        <v>item_11010703</v>
      </c>
      <c r="D123" s="4" t="str">
        <f t="shared" si="137"/>
        <v>item_desc_11010703</v>
      </c>
      <c r="E123" s="4" t="str">
        <f t="shared" si="138"/>
        <v>item_11010703</v>
      </c>
      <c r="F123" s="4" t="str">
        <f t="shared" si="139"/>
        <v>110107</v>
      </c>
      <c r="G123" s="6">
        <f t="shared" si="140"/>
        <v>3</v>
      </c>
      <c r="H123" s="6">
        <f t="shared" si="144"/>
        <v>1</v>
      </c>
      <c r="J123" s="4">
        <f t="shared" si="141"/>
        <v>11010704</v>
      </c>
      <c r="K123" s="4">
        <f t="shared" si="142"/>
        <v>5</v>
      </c>
      <c r="L123" s="4" t="s">
        <v>50</v>
      </c>
      <c r="M123" s="4" t="s">
        <v>202</v>
      </c>
      <c r="N123" s="4" t="s">
        <v>72</v>
      </c>
      <c r="Q123" s="4" t="s">
        <v>50</v>
      </c>
      <c r="S123" s="4" t="str">
        <f t="shared" si="143"/>
        <v/>
      </c>
      <c r="T123" s="4" t="s">
        <v>50</v>
      </c>
      <c r="U123" s="4" t="s">
        <v>65</v>
      </c>
      <c r="V123" s="4" t="s">
        <v>225</v>
      </c>
    </row>
    <row r="124" s="4" customFormat="1" spans="1:23">
      <c r="A124" s="4">
        <v>11010704</v>
      </c>
      <c r="B124" s="4" t="s">
        <v>228</v>
      </c>
      <c r="C124" s="4" t="str">
        <f t="shared" si="136"/>
        <v>item_11010704</v>
      </c>
      <c r="D124" s="4" t="str">
        <f t="shared" si="137"/>
        <v>item_desc_11010704</v>
      </c>
      <c r="E124" s="4" t="str">
        <f t="shared" si="138"/>
        <v>item_11010704</v>
      </c>
      <c r="F124" s="4" t="str">
        <f t="shared" si="139"/>
        <v>110107</v>
      </c>
      <c r="G124" s="6">
        <f t="shared" si="140"/>
        <v>4</v>
      </c>
      <c r="H124" s="6">
        <f t="shared" si="144"/>
        <v>1</v>
      </c>
      <c r="J124" s="4">
        <f t="shared" si="141"/>
        <v>11010705</v>
      </c>
      <c r="K124" s="4">
        <f t="shared" si="142"/>
        <v>6</v>
      </c>
      <c r="L124" s="4">
        <v>1</v>
      </c>
      <c r="M124" s="4" t="s">
        <v>229</v>
      </c>
      <c r="N124" s="4" t="s">
        <v>75</v>
      </c>
      <c r="S124" s="4" t="s">
        <v>230</v>
      </c>
      <c r="T124" s="4" t="s">
        <v>231</v>
      </c>
      <c r="U124" s="4" t="s">
        <v>65</v>
      </c>
      <c r="V124" s="4" t="s">
        <v>225</v>
      </c>
      <c r="W124" s="4">
        <v>1</v>
      </c>
    </row>
    <row r="125" s="4" customFormat="1" spans="1:23">
      <c r="A125" s="4">
        <v>11010705</v>
      </c>
      <c r="B125" s="4" t="s">
        <v>232</v>
      </c>
      <c r="C125" s="4" t="str">
        <f t="shared" si="136"/>
        <v>item_11010705</v>
      </c>
      <c r="D125" s="4" t="str">
        <f t="shared" si="137"/>
        <v>item_desc_11010705</v>
      </c>
      <c r="E125" s="4" t="str">
        <f t="shared" si="138"/>
        <v>item_11010705</v>
      </c>
      <c r="F125" s="4" t="str">
        <f t="shared" si="139"/>
        <v>110107</v>
      </c>
      <c r="G125" s="6">
        <f t="shared" si="140"/>
        <v>5</v>
      </c>
      <c r="H125" s="6">
        <f t="shared" si="144"/>
        <v>1</v>
      </c>
      <c r="J125" s="4">
        <f t="shared" si="141"/>
        <v>11010706</v>
      </c>
      <c r="K125" s="4">
        <f t="shared" si="142"/>
        <v>7</v>
      </c>
      <c r="L125" s="4">
        <v>1</v>
      </c>
      <c r="M125" s="4" t="s">
        <v>233</v>
      </c>
      <c r="N125" s="4" t="s">
        <v>79</v>
      </c>
      <c r="Q125" s="4" t="s">
        <v>80</v>
      </c>
      <c r="S125" s="4" t="s">
        <v>234</v>
      </c>
      <c r="T125" s="4" t="s">
        <v>235</v>
      </c>
      <c r="U125" s="4" t="s">
        <v>65</v>
      </c>
      <c r="V125" s="4" t="s">
        <v>225</v>
      </c>
      <c r="W125" s="4">
        <v>1</v>
      </c>
    </row>
    <row r="126" s="4" customFormat="1" spans="1:23">
      <c r="A126" s="4">
        <v>11010706</v>
      </c>
      <c r="B126" s="4" t="s">
        <v>236</v>
      </c>
      <c r="C126" s="4" t="str">
        <f t="shared" si="136"/>
        <v>item_11010706</v>
      </c>
      <c r="D126" s="4" t="str">
        <f t="shared" si="137"/>
        <v>item_desc_11010706</v>
      </c>
      <c r="E126" s="4" t="str">
        <f t="shared" si="138"/>
        <v>item_11010706</v>
      </c>
      <c r="F126" s="4" t="str">
        <f t="shared" si="139"/>
        <v>110107</v>
      </c>
      <c r="G126" s="6">
        <f t="shared" si="140"/>
        <v>6</v>
      </c>
      <c r="H126" s="6">
        <f t="shared" si="144"/>
        <v>1</v>
      </c>
      <c r="J126" s="4">
        <f t="shared" si="141"/>
        <v>11010707</v>
      </c>
      <c r="K126" s="4" t="str">
        <f t="shared" si="142"/>
        <v/>
      </c>
      <c r="L126" s="4">
        <v>1</v>
      </c>
      <c r="M126" s="4" t="s">
        <v>237</v>
      </c>
      <c r="N126" s="4" t="s">
        <v>84</v>
      </c>
      <c r="Q126" s="4" t="s">
        <v>85</v>
      </c>
      <c r="S126" s="4" t="s">
        <v>238</v>
      </c>
      <c r="T126" s="4" t="s">
        <v>239</v>
      </c>
      <c r="U126" s="4" t="s">
        <v>65</v>
      </c>
      <c r="V126" s="4" t="s">
        <v>225</v>
      </c>
      <c r="W126" s="4">
        <v>1</v>
      </c>
    </row>
    <row r="127" s="4" customFormat="1" spans="1:23">
      <c r="A127" s="4">
        <v>11010707</v>
      </c>
      <c r="B127" s="4" t="s">
        <v>240</v>
      </c>
      <c r="C127" s="4" t="str">
        <f t="shared" si="136"/>
        <v>item_11010707</v>
      </c>
      <c r="D127" s="4" t="str">
        <f t="shared" si="137"/>
        <v>item_desc_11010707</v>
      </c>
      <c r="E127" s="4" t="str">
        <f t="shared" si="138"/>
        <v>item_11010707</v>
      </c>
      <c r="F127" s="4" t="str">
        <f t="shared" si="139"/>
        <v>110107</v>
      </c>
      <c r="G127" s="6">
        <f t="shared" si="140"/>
        <v>7</v>
      </c>
      <c r="H127" s="6">
        <f t="shared" si="144"/>
        <v>1</v>
      </c>
      <c r="J127" s="4">
        <f t="shared" si="141"/>
        <v>11010708</v>
      </c>
      <c r="K127" s="4" t="str">
        <f t="shared" si="142"/>
        <v/>
      </c>
      <c r="M127" s="4" t="s">
        <v>241</v>
      </c>
      <c r="N127" s="4" t="s">
        <v>89</v>
      </c>
      <c r="Q127" s="4" t="s">
        <v>90</v>
      </c>
      <c r="S127" s="4" t="s">
        <v>242</v>
      </c>
      <c r="T127" s="4" t="s">
        <v>243</v>
      </c>
      <c r="U127" s="4" t="s">
        <v>65</v>
      </c>
      <c r="V127" s="4" t="s">
        <v>225</v>
      </c>
      <c r="W127" s="4">
        <v>2</v>
      </c>
    </row>
    <row r="128" s="4" customFormat="1" spans="1:23">
      <c r="A128" s="4">
        <v>11010708</v>
      </c>
      <c r="B128" s="4" t="s">
        <v>244</v>
      </c>
      <c r="C128" s="4" t="str">
        <f t="shared" si="136"/>
        <v>item_11010708</v>
      </c>
      <c r="D128" s="4" t="str">
        <f t="shared" si="137"/>
        <v>item_desc_11010708</v>
      </c>
      <c r="E128" s="4" t="str">
        <f t="shared" si="138"/>
        <v>item_11010708</v>
      </c>
      <c r="F128" s="4" t="str">
        <f t="shared" si="139"/>
        <v>110107</v>
      </c>
      <c r="G128" s="6">
        <f t="shared" si="140"/>
        <v>8</v>
      </c>
      <c r="H128" s="6">
        <f t="shared" si="144"/>
        <v>1</v>
      </c>
      <c r="J128" s="4">
        <f t="shared" si="141"/>
        <v>11010709</v>
      </c>
      <c r="K128" s="4" t="str">
        <f t="shared" si="142"/>
        <v/>
      </c>
      <c r="L128" s="4" t="s">
        <v>50</v>
      </c>
      <c r="M128" s="4" t="s">
        <v>245</v>
      </c>
      <c r="N128" s="4" t="s">
        <v>94</v>
      </c>
      <c r="Q128" s="4" t="s">
        <v>95</v>
      </c>
      <c r="S128" s="4" t="s">
        <v>91</v>
      </c>
      <c r="T128" s="4" t="s">
        <v>245</v>
      </c>
      <c r="U128" s="4" t="s">
        <v>65</v>
      </c>
      <c r="V128" s="4" t="s">
        <v>225</v>
      </c>
      <c r="W128" s="4">
        <v>2</v>
      </c>
    </row>
    <row r="129" s="5" customFormat="1" spans="1:23">
      <c r="A129" s="5">
        <v>11010709</v>
      </c>
      <c r="B129" s="5" t="s">
        <v>246</v>
      </c>
      <c r="C129" s="5" t="str">
        <f t="shared" si="136"/>
        <v>item_11010709</v>
      </c>
      <c r="D129" s="5" t="str">
        <f t="shared" si="137"/>
        <v>item_desc_11010709</v>
      </c>
      <c r="E129" s="5" t="str">
        <f t="shared" si="138"/>
        <v>item_11010709</v>
      </c>
      <c r="F129" s="5" t="str">
        <f t="shared" si="139"/>
        <v>110107</v>
      </c>
      <c r="G129" s="5">
        <f t="shared" si="140"/>
        <v>9</v>
      </c>
      <c r="H129" s="5">
        <f t="shared" si="144"/>
        <v>1</v>
      </c>
      <c r="J129" s="5" t="str">
        <f t="shared" si="141"/>
        <v/>
      </c>
      <c r="K129" s="5" t="str">
        <f t="shared" si="142"/>
        <v/>
      </c>
      <c r="L129" s="5" t="s">
        <v>50</v>
      </c>
      <c r="M129" s="5" t="s">
        <v>247</v>
      </c>
      <c r="N129" s="5" t="s">
        <v>99</v>
      </c>
      <c r="Q129" s="5" t="s">
        <v>100</v>
      </c>
      <c r="S129" s="5" t="s">
        <v>91</v>
      </c>
      <c r="T129" s="5" t="s">
        <v>247</v>
      </c>
      <c r="U129" s="5" t="s">
        <v>65</v>
      </c>
      <c r="V129" s="5" t="s">
        <v>225</v>
      </c>
      <c r="W129" s="5">
        <v>2</v>
      </c>
    </row>
    <row r="130" s="4" customFormat="1" spans="1:22">
      <c r="A130" s="4">
        <v>11010801</v>
      </c>
      <c r="B130" s="4" t="s">
        <v>248</v>
      </c>
      <c r="C130" s="4" t="str">
        <f t="shared" si="136"/>
        <v>item_11010801</v>
      </c>
      <c r="D130" s="4" t="str">
        <f t="shared" si="137"/>
        <v>item_desc_11010801</v>
      </c>
      <c r="E130" s="4" t="str">
        <f t="shared" si="138"/>
        <v>item_11010801</v>
      </c>
      <c r="F130" s="4" t="str">
        <f t="shared" si="139"/>
        <v>110108</v>
      </c>
      <c r="G130" s="6">
        <f t="shared" si="140"/>
        <v>1</v>
      </c>
      <c r="H130" s="6">
        <f t="shared" si="144"/>
        <v>1</v>
      </c>
      <c r="J130" s="4">
        <f t="shared" si="141"/>
        <v>11010802</v>
      </c>
      <c r="K130" s="4">
        <f t="shared" si="142"/>
        <v>5</v>
      </c>
      <c r="L130" s="4" t="s">
        <v>50</v>
      </c>
      <c r="M130" s="4" t="s">
        <v>166</v>
      </c>
      <c r="N130" s="4" t="s">
        <v>64</v>
      </c>
      <c r="Q130" s="4" t="s">
        <v>50</v>
      </c>
      <c r="S130" s="4" t="str">
        <f>IF(AND(H124=1,G124&gt;4),1,"")</f>
        <v/>
      </c>
      <c r="T130" s="4" t="s">
        <v>50</v>
      </c>
      <c r="U130" s="4" t="s">
        <v>65</v>
      </c>
      <c r="V130" s="4" t="s">
        <v>225</v>
      </c>
    </row>
    <row r="131" s="4" customFormat="1" spans="1:22">
      <c r="A131" s="4">
        <v>11010802</v>
      </c>
      <c r="B131" s="4" t="s">
        <v>249</v>
      </c>
      <c r="C131" s="4" t="str">
        <f t="shared" si="136"/>
        <v>item_11010802</v>
      </c>
      <c r="D131" s="4" t="str">
        <f t="shared" si="137"/>
        <v>item_desc_11010802</v>
      </c>
      <c r="E131" s="4" t="str">
        <f t="shared" si="138"/>
        <v>item_11010802</v>
      </c>
      <c r="F131" s="4" t="str">
        <f t="shared" si="139"/>
        <v>110108</v>
      </c>
      <c r="G131" s="6">
        <f t="shared" si="140"/>
        <v>2</v>
      </c>
      <c r="H131" s="6">
        <f t="shared" si="144"/>
        <v>1</v>
      </c>
      <c r="J131" s="4">
        <f t="shared" si="141"/>
        <v>11010803</v>
      </c>
      <c r="K131" s="4">
        <f t="shared" si="142"/>
        <v>5</v>
      </c>
      <c r="L131" s="4" t="s">
        <v>50</v>
      </c>
      <c r="M131" s="4" t="s">
        <v>202</v>
      </c>
      <c r="N131" s="4" t="s">
        <v>69</v>
      </c>
      <c r="Q131" s="4" t="s">
        <v>50</v>
      </c>
      <c r="S131" s="4" t="str">
        <f>IF(AND(H131=1,G131&gt;4),1,"")</f>
        <v/>
      </c>
      <c r="T131" s="4" t="s">
        <v>50</v>
      </c>
      <c r="U131" s="4" t="s">
        <v>65</v>
      </c>
      <c r="V131" s="4" t="s">
        <v>225</v>
      </c>
    </row>
    <row r="132" s="4" customFormat="1" spans="1:23">
      <c r="A132" s="4">
        <v>11010803</v>
      </c>
      <c r="B132" s="4" t="s">
        <v>250</v>
      </c>
      <c r="C132" s="4" t="str">
        <f t="shared" si="136"/>
        <v>item_11010803</v>
      </c>
      <c r="D132" s="4" t="str">
        <f t="shared" si="137"/>
        <v>item_desc_11010803</v>
      </c>
      <c r="E132" s="4" t="str">
        <f t="shared" si="138"/>
        <v>item_11010803</v>
      </c>
      <c r="F132" s="4" t="str">
        <f t="shared" si="139"/>
        <v>110108</v>
      </c>
      <c r="G132" s="6">
        <f t="shared" si="140"/>
        <v>3</v>
      </c>
      <c r="H132" s="6">
        <f t="shared" si="144"/>
        <v>1</v>
      </c>
      <c r="J132" s="4">
        <f t="shared" si="141"/>
        <v>11010804</v>
      </c>
      <c r="K132" s="4">
        <f t="shared" si="142"/>
        <v>5</v>
      </c>
      <c r="L132" s="4">
        <v>1</v>
      </c>
      <c r="M132" s="4" t="s">
        <v>229</v>
      </c>
      <c r="N132" s="4" t="s">
        <v>72</v>
      </c>
      <c r="Q132" s="4" t="s">
        <v>50</v>
      </c>
      <c r="S132" s="4" t="s">
        <v>251</v>
      </c>
      <c r="T132" s="4" t="s">
        <v>231</v>
      </c>
      <c r="U132" s="4" t="s">
        <v>65</v>
      </c>
      <c r="V132" s="4" t="s">
        <v>225</v>
      </c>
      <c r="W132" s="4">
        <v>1</v>
      </c>
    </row>
    <row r="133" s="4" customFormat="1" spans="1:23">
      <c r="A133" s="4">
        <v>11010804</v>
      </c>
      <c r="B133" s="4" t="s">
        <v>252</v>
      </c>
      <c r="C133" s="4" t="str">
        <f t="shared" si="136"/>
        <v>item_11010804</v>
      </c>
      <c r="D133" s="4" t="str">
        <f t="shared" si="137"/>
        <v>item_desc_11010804</v>
      </c>
      <c r="E133" s="4" t="str">
        <f t="shared" si="138"/>
        <v>item_11010804</v>
      </c>
      <c r="F133" s="4" t="str">
        <f t="shared" si="139"/>
        <v>110108</v>
      </c>
      <c r="G133" s="6">
        <f t="shared" si="140"/>
        <v>4</v>
      </c>
      <c r="H133" s="6">
        <f t="shared" si="144"/>
        <v>1</v>
      </c>
      <c r="J133" s="4">
        <f t="shared" si="141"/>
        <v>11010805</v>
      </c>
      <c r="K133" s="4">
        <f t="shared" si="142"/>
        <v>6</v>
      </c>
      <c r="L133" s="4">
        <v>1</v>
      </c>
      <c r="M133" s="4" t="s">
        <v>233</v>
      </c>
      <c r="N133" s="4" t="s">
        <v>75</v>
      </c>
      <c r="Q133" s="4" t="s">
        <v>90</v>
      </c>
      <c r="S133" s="4" t="s">
        <v>253</v>
      </c>
      <c r="T133" s="4" t="s">
        <v>235</v>
      </c>
      <c r="U133" s="4" t="s">
        <v>65</v>
      </c>
      <c r="V133" s="4" t="s">
        <v>225</v>
      </c>
      <c r="W133" s="4">
        <v>1</v>
      </c>
    </row>
    <row r="134" s="4" customFormat="1" spans="1:23">
      <c r="A134" s="4">
        <v>11010805</v>
      </c>
      <c r="B134" s="4" t="s">
        <v>254</v>
      </c>
      <c r="C134" s="4" t="str">
        <f t="shared" si="136"/>
        <v>item_11010805</v>
      </c>
      <c r="D134" s="4" t="str">
        <f t="shared" si="137"/>
        <v>item_desc_11010805</v>
      </c>
      <c r="E134" s="4" t="str">
        <f t="shared" si="138"/>
        <v>item_11010805</v>
      </c>
      <c r="F134" s="4" t="str">
        <f t="shared" si="139"/>
        <v>110108</v>
      </c>
      <c r="G134" s="6">
        <f t="shared" si="140"/>
        <v>5</v>
      </c>
      <c r="H134" s="6">
        <f t="shared" si="144"/>
        <v>1</v>
      </c>
      <c r="J134" s="4">
        <f t="shared" si="141"/>
        <v>11010806</v>
      </c>
      <c r="K134" s="4">
        <f t="shared" si="142"/>
        <v>7</v>
      </c>
      <c r="L134" s="4">
        <v>1</v>
      </c>
      <c r="M134" s="4" t="s">
        <v>237</v>
      </c>
      <c r="N134" s="4" t="s">
        <v>79</v>
      </c>
      <c r="Q134" s="4" t="s">
        <v>95</v>
      </c>
      <c r="S134" s="4" t="s">
        <v>255</v>
      </c>
      <c r="T134" s="4" t="s">
        <v>239</v>
      </c>
      <c r="U134" s="4" t="s">
        <v>65</v>
      </c>
      <c r="V134" s="4" t="s">
        <v>225</v>
      </c>
      <c r="W134" s="4">
        <v>2</v>
      </c>
    </row>
    <row r="135" s="5" customFormat="1" spans="1:23">
      <c r="A135" s="5">
        <v>11010806</v>
      </c>
      <c r="B135" s="5" t="s">
        <v>256</v>
      </c>
      <c r="C135" s="5" t="str">
        <f t="shared" si="136"/>
        <v>item_11010806</v>
      </c>
      <c r="D135" s="5" t="str">
        <f t="shared" si="137"/>
        <v>item_desc_11010806</v>
      </c>
      <c r="E135" s="5" t="str">
        <f t="shared" si="138"/>
        <v>item_11010806</v>
      </c>
      <c r="F135" s="5" t="str">
        <f t="shared" si="139"/>
        <v>110108</v>
      </c>
      <c r="G135" s="5">
        <f t="shared" si="140"/>
        <v>6</v>
      </c>
      <c r="H135" s="5">
        <f t="shared" si="144"/>
        <v>1</v>
      </c>
      <c r="J135" s="5" t="str">
        <f t="shared" si="141"/>
        <v/>
      </c>
      <c r="K135" s="5" t="str">
        <f t="shared" si="142"/>
        <v/>
      </c>
      <c r="L135" s="5" t="s">
        <v>50</v>
      </c>
      <c r="M135" s="5" t="s">
        <v>241</v>
      </c>
      <c r="N135" s="5" t="s">
        <v>84</v>
      </c>
      <c r="Q135" s="5" t="s">
        <v>100</v>
      </c>
      <c r="S135" s="5" t="s">
        <v>257</v>
      </c>
      <c r="T135" s="5" t="s">
        <v>243</v>
      </c>
      <c r="U135" s="5" t="s">
        <v>65</v>
      </c>
      <c r="V135" s="5" t="s">
        <v>225</v>
      </c>
      <c r="W135" s="5">
        <v>2</v>
      </c>
    </row>
    <row r="136" s="4" customFormat="1" spans="1:22">
      <c r="A136" s="4">
        <v>11020701</v>
      </c>
      <c r="B136" s="4" t="s">
        <v>258</v>
      </c>
      <c r="C136" s="4" t="str">
        <f t="shared" si="136"/>
        <v>item_11020701</v>
      </c>
      <c r="D136" s="4" t="str">
        <f t="shared" si="137"/>
        <v>item_desc_11020701</v>
      </c>
      <c r="E136" s="4" t="str">
        <f t="shared" si="138"/>
        <v>item_11020701</v>
      </c>
      <c r="F136" s="4" t="str">
        <f t="shared" si="139"/>
        <v>110207</v>
      </c>
      <c r="G136" s="6">
        <f t="shared" si="140"/>
        <v>1</v>
      </c>
      <c r="H136" s="6">
        <v>1</v>
      </c>
      <c r="J136" s="4">
        <f t="shared" si="141"/>
        <v>11020702</v>
      </c>
      <c r="K136" s="4">
        <f t="shared" si="142"/>
        <v>5</v>
      </c>
      <c r="L136" s="4" t="s">
        <v>50</v>
      </c>
      <c r="Q136" s="4" t="s">
        <v>50</v>
      </c>
      <c r="S136" s="4" t="str">
        <f t="shared" ref="S136:S147" si="145">IF(AND(H136=1,G136&gt;4),1,"")</f>
        <v/>
      </c>
      <c r="T136" s="4" t="s">
        <v>50</v>
      </c>
      <c r="V136" s="4" t="s">
        <v>50</v>
      </c>
    </row>
    <row r="137" s="4" customFormat="1" spans="1:22">
      <c r="A137" s="4">
        <v>11020702</v>
      </c>
      <c r="B137" s="4" t="s">
        <v>259</v>
      </c>
      <c r="C137" s="4" t="str">
        <f t="shared" si="136"/>
        <v>item_11020702</v>
      </c>
      <c r="D137" s="4" t="str">
        <f t="shared" si="137"/>
        <v>item_desc_11020702</v>
      </c>
      <c r="E137" s="4" t="str">
        <f t="shared" si="138"/>
        <v>item_11020702</v>
      </c>
      <c r="F137" s="4" t="str">
        <f t="shared" si="139"/>
        <v>110207</v>
      </c>
      <c r="G137" s="6">
        <f t="shared" si="140"/>
        <v>2</v>
      </c>
      <c r="H137" s="6">
        <v>1</v>
      </c>
      <c r="J137" s="4">
        <f t="shared" si="141"/>
        <v>11020703</v>
      </c>
      <c r="K137" s="4">
        <f t="shared" si="142"/>
        <v>5</v>
      </c>
      <c r="L137" s="4" t="s">
        <v>50</v>
      </c>
      <c r="S137" s="4" t="str">
        <f t="shared" si="145"/>
        <v/>
      </c>
      <c r="T137" s="4" t="s">
        <v>50</v>
      </c>
      <c r="V137" s="4" t="s">
        <v>50</v>
      </c>
    </row>
    <row r="138" s="4" customFormat="1" spans="1:22">
      <c r="A138" s="4">
        <v>11020703</v>
      </c>
      <c r="B138" s="4" t="s">
        <v>260</v>
      </c>
      <c r="C138" s="4" t="str">
        <f t="shared" si="136"/>
        <v>item_11020703</v>
      </c>
      <c r="D138" s="4" t="str">
        <f t="shared" si="137"/>
        <v>item_desc_11020703</v>
      </c>
      <c r="E138" s="4" t="str">
        <f t="shared" si="138"/>
        <v>item_11020703</v>
      </c>
      <c r="F138" s="4" t="str">
        <f t="shared" si="139"/>
        <v>110207</v>
      </c>
      <c r="G138" s="6">
        <f t="shared" si="140"/>
        <v>3</v>
      </c>
      <c r="H138" s="6">
        <v>1</v>
      </c>
      <c r="J138" s="4">
        <f t="shared" si="141"/>
        <v>11020704</v>
      </c>
      <c r="K138" s="4">
        <f t="shared" si="142"/>
        <v>5</v>
      </c>
      <c r="L138" s="4" t="s">
        <v>50</v>
      </c>
      <c r="S138" s="4" t="str">
        <f t="shared" si="145"/>
        <v/>
      </c>
      <c r="T138" s="4" t="s">
        <v>50</v>
      </c>
      <c r="V138" s="4" t="s">
        <v>50</v>
      </c>
    </row>
    <row r="139" s="4" customFormat="1" spans="1:23">
      <c r="A139" s="4">
        <v>11020704</v>
      </c>
      <c r="B139" s="4" t="s">
        <v>261</v>
      </c>
      <c r="C139" s="4" t="str">
        <f t="shared" si="136"/>
        <v>item_11020704</v>
      </c>
      <c r="D139" s="4" t="str">
        <f t="shared" si="137"/>
        <v>item_desc_11020704</v>
      </c>
      <c r="E139" s="4" t="str">
        <f t="shared" si="138"/>
        <v>item_11020704</v>
      </c>
      <c r="F139" s="4" t="str">
        <f t="shared" si="139"/>
        <v>110207</v>
      </c>
      <c r="G139" s="6">
        <f t="shared" si="140"/>
        <v>4</v>
      </c>
      <c r="H139" s="6">
        <f t="shared" ref="H139:H159" si="146">VALUE(MID(A139,4,1))</f>
        <v>2</v>
      </c>
      <c r="J139" s="4">
        <f t="shared" si="141"/>
        <v>11020705</v>
      </c>
      <c r="K139" s="4" t="str">
        <f t="shared" si="142"/>
        <v/>
      </c>
      <c r="L139" s="4" t="s">
        <v>50</v>
      </c>
      <c r="Q139" s="4" t="s">
        <v>54</v>
      </c>
      <c r="S139" s="4" t="str">
        <f t="shared" si="145"/>
        <v/>
      </c>
      <c r="T139" s="4" t="s">
        <v>50</v>
      </c>
      <c r="V139" s="4" t="s">
        <v>50</v>
      </c>
      <c r="W139" s="4">
        <v>1</v>
      </c>
    </row>
    <row r="140" s="4" customFormat="1" spans="1:23">
      <c r="A140" s="4">
        <v>11020705</v>
      </c>
      <c r="B140" s="4" t="s">
        <v>262</v>
      </c>
      <c r="C140" s="4" t="str">
        <f t="shared" si="136"/>
        <v>item_11020705</v>
      </c>
      <c r="D140" s="4" t="str">
        <f t="shared" si="137"/>
        <v>item_desc_11020705</v>
      </c>
      <c r="E140" s="4" t="str">
        <f t="shared" si="138"/>
        <v>item_11020705</v>
      </c>
      <c r="F140" s="4" t="str">
        <f t="shared" si="139"/>
        <v>110207</v>
      </c>
      <c r="G140" s="6">
        <f t="shared" si="140"/>
        <v>5</v>
      </c>
      <c r="H140" s="6">
        <f t="shared" si="146"/>
        <v>2</v>
      </c>
      <c r="J140" s="4">
        <f t="shared" si="141"/>
        <v>11020706</v>
      </c>
      <c r="K140" s="4" t="str">
        <f t="shared" si="142"/>
        <v/>
      </c>
      <c r="L140" s="4" t="s">
        <v>50</v>
      </c>
      <c r="Q140" s="4" t="s">
        <v>54</v>
      </c>
      <c r="S140" s="4" t="str">
        <f t="shared" si="145"/>
        <v/>
      </c>
      <c r="T140" s="4" t="s">
        <v>50</v>
      </c>
      <c r="V140" s="4" t="s">
        <v>50</v>
      </c>
      <c r="W140" s="4">
        <v>1</v>
      </c>
    </row>
    <row r="141" s="4" customFormat="1" spans="1:23">
      <c r="A141" s="4">
        <v>11020706</v>
      </c>
      <c r="B141" s="4" t="s">
        <v>263</v>
      </c>
      <c r="C141" s="4" t="str">
        <f t="shared" si="136"/>
        <v>item_11020706</v>
      </c>
      <c r="D141" s="4" t="str">
        <f t="shared" si="137"/>
        <v>item_desc_11020706</v>
      </c>
      <c r="E141" s="4" t="str">
        <f t="shared" si="138"/>
        <v>item_11020706</v>
      </c>
      <c r="F141" s="4" t="str">
        <f t="shared" si="139"/>
        <v>110207</v>
      </c>
      <c r="G141" s="6">
        <f t="shared" si="140"/>
        <v>6</v>
      </c>
      <c r="H141" s="6">
        <f t="shared" si="146"/>
        <v>2</v>
      </c>
      <c r="J141" s="4">
        <f t="shared" si="141"/>
        <v>11020707</v>
      </c>
      <c r="K141" s="4" t="str">
        <f t="shared" si="142"/>
        <v/>
      </c>
      <c r="L141" s="4" t="s">
        <v>50</v>
      </c>
      <c r="Q141" s="4" t="s">
        <v>57</v>
      </c>
      <c r="S141" s="4" t="str">
        <f t="shared" si="145"/>
        <v/>
      </c>
      <c r="T141" s="4" t="s">
        <v>50</v>
      </c>
      <c r="V141" s="4" t="s">
        <v>50</v>
      </c>
      <c r="W141" s="4">
        <v>1</v>
      </c>
    </row>
    <row r="142" s="4" customFormat="1" spans="1:23">
      <c r="A142" s="4">
        <v>11020707</v>
      </c>
      <c r="B142" s="4" t="s">
        <v>264</v>
      </c>
      <c r="C142" s="4" t="str">
        <f t="shared" si="136"/>
        <v>item_11020707</v>
      </c>
      <c r="D142" s="4" t="str">
        <f t="shared" si="137"/>
        <v>item_desc_11020707</v>
      </c>
      <c r="E142" s="4" t="str">
        <f t="shared" si="138"/>
        <v>item_11020707</v>
      </c>
      <c r="F142" s="4" t="str">
        <f t="shared" si="139"/>
        <v>110207</v>
      </c>
      <c r="G142" s="6">
        <f t="shared" si="140"/>
        <v>7</v>
      </c>
      <c r="H142" s="6">
        <f t="shared" si="146"/>
        <v>2</v>
      </c>
      <c r="J142" s="4">
        <f t="shared" si="141"/>
        <v>11020708</v>
      </c>
      <c r="K142" s="4" t="str">
        <f t="shared" si="142"/>
        <v/>
      </c>
      <c r="L142" s="4" t="s">
        <v>50</v>
      </c>
      <c r="Q142" s="4" t="s">
        <v>57</v>
      </c>
      <c r="S142" s="4" t="str">
        <f t="shared" si="145"/>
        <v/>
      </c>
      <c r="T142" s="4" t="s">
        <v>50</v>
      </c>
      <c r="V142" s="4" t="s">
        <v>50</v>
      </c>
      <c r="W142" s="4">
        <v>2</v>
      </c>
    </row>
    <row r="143" s="4" customFormat="1" spans="1:23">
      <c r="A143" s="4">
        <v>11020708</v>
      </c>
      <c r="B143" s="4" t="s">
        <v>265</v>
      </c>
      <c r="C143" s="4" t="str">
        <f t="shared" si="136"/>
        <v>item_11020708</v>
      </c>
      <c r="D143" s="4" t="str">
        <f t="shared" si="137"/>
        <v>item_desc_11020708</v>
      </c>
      <c r="E143" s="4" t="str">
        <f t="shared" si="138"/>
        <v>item_11020708</v>
      </c>
      <c r="F143" s="4" t="str">
        <f t="shared" si="139"/>
        <v>110207</v>
      </c>
      <c r="G143" s="6">
        <f t="shared" si="140"/>
        <v>8</v>
      </c>
      <c r="H143" s="6">
        <f t="shared" si="146"/>
        <v>2</v>
      </c>
      <c r="J143" s="4">
        <f t="shared" si="141"/>
        <v>11020709</v>
      </c>
      <c r="K143" s="4" t="str">
        <f t="shared" si="142"/>
        <v/>
      </c>
      <c r="L143" s="4" t="s">
        <v>50</v>
      </c>
      <c r="Q143" s="4" t="s">
        <v>57</v>
      </c>
      <c r="S143" s="4" t="str">
        <f t="shared" si="145"/>
        <v/>
      </c>
      <c r="T143" s="4" t="s">
        <v>50</v>
      </c>
      <c r="V143" s="4" t="s">
        <v>50</v>
      </c>
      <c r="W143" s="4">
        <v>2</v>
      </c>
    </row>
    <row r="144" s="5" customFormat="1" spans="1:23">
      <c r="A144" s="5">
        <v>11020709</v>
      </c>
      <c r="B144" s="5" t="s">
        <v>266</v>
      </c>
      <c r="C144" s="5" t="str">
        <f t="shared" si="136"/>
        <v>item_11020709</v>
      </c>
      <c r="D144" s="5" t="str">
        <f t="shared" si="137"/>
        <v>item_desc_11020709</v>
      </c>
      <c r="E144" s="5" t="str">
        <f t="shared" si="138"/>
        <v>item_11020709</v>
      </c>
      <c r="F144" s="5" t="str">
        <f t="shared" si="139"/>
        <v>110207</v>
      </c>
      <c r="G144" s="5">
        <f t="shared" si="140"/>
        <v>9</v>
      </c>
      <c r="H144" s="5">
        <f t="shared" si="146"/>
        <v>2</v>
      </c>
      <c r="J144" s="5" t="str">
        <f t="shared" si="141"/>
        <v/>
      </c>
      <c r="K144" s="5" t="str">
        <f t="shared" si="142"/>
        <v/>
      </c>
      <c r="L144" s="5" t="s">
        <v>50</v>
      </c>
      <c r="Q144" s="5" t="s">
        <v>61</v>
      </c>
      <c r="S144" s="5" t="str">
        <f t="shared" si="145"/>
        <v/>
      </c>
      <c r="T144" s="5" t="s">
        <v>50</v>
      </c>
      <c r="V144" s="5" t="s">
        <v>50</v>
      </c>
      <c r="W144" s="5">
        <v>2</v>
      </c>
    </row>
    <row r="145" s="4" customFormat="1" spans="1:22">
      <c r="A145" s="4">
        <v>11010901</v>
      </c>
      <c r="B145" s="4" t="s">
        <v>267</v>
      </c>
      <c r="C145" s="4" t="str">
        <f t="shared" si="136"/>
        <v>item_11010901</v>
      </c>
      <c r="D145" s="4" t="str">
        <f t="shared" si="137"/>
        <v>item_desc_11010901</v>
      </c>
      <c r="E145" s="4" t="str">
        <f t="shared" si="138"/>
        <v>item_11010901</v>
      </c>
      <c r="F145" s="4" t="str">
        <f t="shared" si="139"/>
        <v>110109</v>
      </c>
      <c r="G145" s="6">
        <f t="shared" si="140"/>
        <v>1</v>
      </c>
      <c r="H145" s="6">
        <f t="shared" si="146"/>
        <v>1</v>
      </c>
      <c r="J145" s="4">
        <f t="shared" si="141"/>
        <v>11010902</v>
      </c>
      <c r="K145" s="4">
        <f t="shared" si="142"/>
        <v>5</v>
      </c>
      <c r="L145" s="4" t="s">
        <v>50</v>
      </c>
      <c r="M145" s="4" t="s">
        <v>63</v>
      </c>
      <c r="N145" s="4" t="s">
        <v>64</v>
      </c>
      <c r="Q145" s="4" t="s">
        <v>50</v>
      </c>
      <c r="S145" s="4" t="str">
        <f t="shared" si="145"/>
        <v/>
      </c>
      <c r="T145" s="4" t="s">
        <v>50</v>
      </c>
      <c r="U145" s="4" t="s">
        <v>65</v>
      </c>
      <c r="V145" s="4" t="s">
        <v>268</v>
      </c>
    </row>
    <row r="146" s="4" customFormat="1" spans="1:22">
      <c r="A146" s="4">
        <v>11010902</v>
      </c>
      <c r="B146" s="4" t="s">
        <v>269</v>
      </c>
      <c r="C146" s="4" t="str">
        <f t="shared" si="136"/>
        <v>item_11010902</v>
      </c>
      <c r="D146" s="4" t="str">
        <f t="shared" si="137"/>
        <v>item_desc_11010902</v>
      </c>
      <c r="E146" s="4" t="str">
        <f t="shared" si="138"/>
        <v>item_11010902</v>
      </c>
      <c r="F146" s="4" t="str">
        <f t="shared" si="139"/>
        <v>110109</v>
      </c>
      <c r="G146" s="6">
        <f t="shared" si="140"/>
        <v>2</v>
      </c>
      <c r="H146" s="6">
        <f t="shared" si="146"/>
        <v>1</v>
      </c>
      <c r="J146" s="4">
        <f t="shared" si="141"/>
        <v>11010903</v>
      </c>
      <c r="K146" s="4">
        <f t="shared" si="142"/>
        <v>5</v>
      </c>
      <c r="L146" s="4" t="s">
        <v>50</v>
      </c>
      <c r="M146" s="4" t="s">
        <v>166</v>
      </c>
      <c r="N146" s="4" t="s">
        <v>69</v>
      </c>
      <c r="Q146" s="4" t="s">
        <v>50</v>
      </c>
      <c r="S146" s="4" t="str">
        <f t="shared" si="145"/>
        <v/>
      </c>
      <c r="T146" s="4" t="s">
        <v>50</v>
      </c>
      <c r="U146" s="4" t="s">
        <v>65</v>
      </c>
      <c r="V146" s="4" t="s">
        <v>268</v>
      </c>
    </row>
    <row r="147" s="4" customFormat="1" spans="1:22">
      <c r="A147" s="4">
        <v>11010903</v>
      </c>
      <c r="B147" s="4" t="s">
        <v>270</v>
      </c>
      <c r="C147" s="4" t="str">
        <f t="shared" si="136"/>
        <v>item_11010903</v>
      </c>
      <c r="D147" s="4" t="str">
        <f t="shared" si="137"/>
        <v>item_desc_11010903</v>
      </c>
      <c r="E147" s="4" t="str">
        <f t="shared" si="138"/>
        <v>item_11010903</v>
      </c>
      <c r="F147" s="4" t="str">
        <f t="shared" si="139"/>
        <v>110109</v>
      </c>
      <c r="G147" s="6">
        <f t="shared" si="140"/>
        <v>3</v>
      </c>
      <c r="H147" s="6">
        <f t="shared" si="146"/>
        <v>1</v>
      </c>
      <c r="J147" s="4">
        <f t="shared" si="141"/>
        <v>11010904</v>
      </c>
      <c r="K147" s="4">
        <f t="shared" si="142"/>
        <v>5</v>
      </c>
      <c r="L147" s="4" t="s">
        <v>50</v>
      </c>
      <c r="M147" s="4" t="s">
        <v>202</v>
      </c>
      <c r="N147" s="4" t="s">
        <v>72</v>
      </c>
      <c r="Q147" s="4" t="s">
        <v>50</v>
      </c>
      <c r="S147" s="4" t="str">
        <f t="shared" si="145"/>
        <v/>
      </c>
      <c r="T147" s="4" t="s">
        <v>50</v>
      </c>
      <c r="U147" s="4" t="s">
        <v>65</v>
      </c>
      <c r="V147" s="4" t="s">
        <v>268</v>
      </c>
    </row>
    <row r="148" s="4" customFormat="1" spans="1:23">
      <c r="A148" s="4">
        <v>11010904</v>
      </c>
      <c r="B148" s="4" t="s">
        <v>271</v>
      </c>
      <c r="C148" s="4" t="str">
        <f t="shared" si="136"/>
        <v>item_11010904</v>
      </c>
      <c r="D148" s="4" t="str">
        <f t="shared" si="137"/>
        <v>item_desc_11010904</v>
      </c>
      <c r="E148" s="4" t="str">
        <f t="shared" si="138"/>
        <v>item_11010904</v>
      </c>
      <c r="F148" s="4" t="str">
        <f t="shared" si="139"/>
        <v>110109</v>
      </c>
      <c r="G148" s="6">
        <f t="shared" si="140"/>
        <v>4</v>
      </c>
      <c r="H148" s="6">
        <f t="shared" si="146"/>
        <v>1</v>
      </c>
      <c r="J148" s="4">
        <f t="shared" si="141"/>
        <v>11010905</v>
      </c>
      <c r="K148" s="4">
        <f t="shared" si="142"/>
        <v>6</v>
      </c>
      <c r="L148" s="4">
        <v>1</v>
      </c>
      <c r="M148" s="4" t="s">
        <v>229</v>
      </c>
      <c r="N148" s="4" t="s">
        <v>75</v>
      </c>
      <c r="S148" s="4" t="s">
        <v>230</v>
      </c>
      <c r="T148" s="4" t="s">
        <v>231</v>
      </c>
      <c r="U148" s="4" t="s">
        <v>65</v>
      </c>
      <c r="V148" s="4" t="s">
        <v>268</v>
      </c>
      <c r="W148" s="4">
        <v>1</v>
      </c>
    </row>
    <row r="149" s="4" customFormat="1" spans="1:23">
      <c r="A149" s="4">
        <v>11010905</v>
      </c>
      <c r="B149" s="4" t="s">
        <v>272</v>
      </c>
      <c r="C149" s="4" t="str">
        <f t="shared" si="136"/>
        <v>item_11010905</v>
      </c>
      <c r="D149" s="4" t="str">
        <f t="shared" si="137"/>
        <v>item_desc_11010905</v>
      </c>
      <c r="E149" s="4" t="str">
        <f t="shared" si="138"/>
        <v>item_11010905</v>
      </c>
      <c r="F149" s="4" t="str">
        <f t="shared" si="139"/>
        <v>110109</v>
      </c>
      <c r="G149" s="6">
        <f t="shared" si="140"/>
        <v>5</v>
      </c>
      <c r="H149" s="6">
        <f t="shared" si="146"/>
        <v>1</v>
      </c>
      <c r="J149" s="4">
        <f t="shared" si="141"/>
        <v>11010906</v>
      </c>
      <c r="K149" s="4">
        <f t="shared" si="142"/>
        <v>7</v>
      </c>
      <c r="L149" s="4">
        <v>1</v>
      </c>
      <c r="M149" s="4" t="s">
        <v>233</v>
      </c>
      <c r="N149" s="4" t="s">
        <v>79</v>
      </c>
      <c r="Q149" s="4" t="s">
        <v>80</v>
      </c>
      <c r="S149" s="4" t="s">
        <v>234</v>
      </c>
      <c r="T149" s="4" t="s">
        <v>235</v>
      </c>
      <c r="U149" s="4" t="s">
        <v>65</v>
      </c>
      <c r="V149" s="4" t="s">
        <v>268</v>
      </c>
      <c r="W149" s="4">
        <v>1</v>
      </c>
    </row>
    <row r="150" s="4" customFormat="1" spans="1:23">
      <c r="A150" s="4">
        <v>11010906</v>
      </c>
      <c r="B150" s="4" t="s">
        <v>273</v>
      </c>
      <c r="C150" s="4" t="str">
        <f t="shared" si="136"/>
        <v>item_11010906</v>
      </c>
      <c r="D150" s="4" t="str">
        <f t="shared" si="137"/>
        <v>item_desc_11010906</v>
      </c>
      <c r="E150" s="4" t="str">
        <f t="shared" si="138"/>
        <v>item_11010906</v>
      </c>
      <c r="F150" s="4" t="str">
        <f t="shared" si="139"/>
        <v>110109</v>
      </c>
      <c r="G150" s="6">
        <f t="shared" si="140"/>
        <v>6</v>
      </c>
      <c r="H150" s="6">
        <f t="shared" si="146"/>
        <v>1</v>
      </c>
      <c r="J150" s="4">
        <f t="shared" si="141"/>
        <v>11010907</v>
      </c>
      <c r="K150" s="4" t="str">
        <f t="shared" si="142"/>
        <v/>
      </c>
      <c r="L150" s="4">
        <v>1</v>
      </c>
      <c r="M150" s="4" t="s">
        <v>237</v>
      </c>
      <c r="N150" s="4" t="s">
        <v>84</v>
      </c>
      <c r="Q150" s="4" t="s">
        <v>85</v>
      </c>
      <c r="S150" s="4" t="s">
        <v>238</v>
      </c>
      <c r="T150" s="4" t="s">
        <v>239</v>
      </c>
      <c r="U150" s="4" t="s">
        <v>65</v>
      </c>
      <c r="V150" s="4" t="s">
        <v>268</v>
      </c>
      <c r="W150" s="4">
        <v>1</v>
      </c>
    </row>
    <row r="151" s="4" customFormat="1" spans="1:23">
      <c r="A151" s="4">
        <v>11010907</v>
      </c>
      <c r="B151" s="4" t="s">
        <v>274</v>
      </c>
      <c r="C151" s="4" t="str">
        <f t="shared" si="136"/>
        <v>item_11010907</v>
      </c>
      <c r="D151" s="4" t="str">
        <f t="shared" si="137"/>
        <v>item_desc_11010907</v>
      </c>
      <c r="E151" s="4" t="str">
        <f t="shared" si="138"/>
        <v>item_11010907</v>
      </c>
      <c r="F151" s="4" t="str">
        <f t="shared" si="139"/>
        <v>110109</v>
      </c>
      <c r="G151" s="6">
        <f t="shared" si="140"/>
        <v>7</v>
      </c>
      <c r="H151" s="6">
        <f t="shared" si="146"/>
        <v>1</v>
      </c>
      <c r="J151" s="4">
        <f t="shared" si="141"/>
        <v>11010908</v>
      </c>
      <c r="K151" s="4" t="str">
        <f t="shared" si="142"/>
        <v/>
      </c>
      <c r="L151" s="4" t="s">
        <v>50</v>
      </c>
      <c r="M151" s="4" t="s">
        <v>241</v>
      </c>
      <c r="N151" s="4" t="s">
        <v>89</v>
      </c>
      <c r="Q151" s="4" t="s">
        <v>90</v>
      </c>
      <c r="S151" s="4" t="s">
        <v>242</v>
      </c>
      <c r="T151" s="4" t="s">
        <v>243</v>
      </c>
      <c r="U151" s="4" t="s">
        <v>65</v>
      </c>
      <c r="V151" s="4" t="s">
        <v>268</v>
      </c>
      <c r="W151" s="4">
        <v>2</v>
      </c>
    </row>
    <row r="152" s="4" customFormat="1" spans="1:23">
      <c r="A152" s="4">
        <v>11010908</v>
      </c>
      <c r="B152" s="4" t="s">
        <v>275</v>
      </c>
      <c r="C152" s="4" t="str">
        <f t="shared" si="136"/>
        <v>item_11010908</v>
      </c>
      <c r="D152" s="4" t="str">
        <f t="shared" si="137"/>
        <v>item_desc_11010908</v>
      </c>
      <c r="E152" s="4" t="str">
        <f t="shared" si="138"/>
        <v>item_11010908</v>
      </c>
      <c r="F152" s="4" t="str">
        <f t="shared" si="139"/>
        <v>110109</v>
      </c>
      <c r="G152" s="6">
        <f t="shared" si="140"/>
        <v>8</v>
      </c>
      <c r="H152" s="6">
        <f t="shared" si="146"/>
        <v>1</v>
      </c>
      <c r="J152" s="4">
        <f t="shared" si="141"/>
        <v>11010909</v>
      </c>
      <c r="K152" s="4" t="str">
        <f t="shared" si="142"/>
        <v/>
      </c>
      <c r="L152" s="4" t="s">
        <v>50</v>
      </c>
      <c r="M152" s="4" t="s">
        <v>245</v>
      </c>
      <c r="N152" s="4" t="s">
        <v>94</v>
      </c>
      <c r="Q152" s="4" t="s">
        <v>95</v>
      </c>
      <c r="S152" s="4" t="s">
        <v>91</v>
      </c>
      <c r="T152" s="4" t="s">
        <v>245</v>
      </c>
      <c r="U152" s="4" t="s">
        <v>65</v>
      </c>
      <c r="V152" s="4" t="s">
        <v>268</v>
      </c>
      <c r="W152" s="4">
        <v>2</v>
      </c>
    </row>
    <row r="153" s="5" customFormat="1" spans="1:23">
      <c r="A153" s="5">
        <v>11010909</v>
      </c>
      <c r="B153" s="5" t="s">
        <v>276</v>
      </c>
      <c r="C153" s="5" t="str">
        <f t="shared" si="136"/>
        <v>item_11010909</v>
      </c>
      <c r="D153" s="5" t="str">
        <f t="shared" si="137"/>
        <v>item_desc_11010909</v>
      </c>
      <c r="E153" s="5" t="str">
        <f t="shared" si="138"/>
        <v>item_11010909</v>
      </c>
      <c r="F153" s="5" t="str">
        <f t="shared" si="139"/>
        <v>110109</v>
      </c>
      <c r="G153" s="5">
        <f t="shared" si="140"/>
        <v>9</v>
      </c>
      <c r="H153" s="5">
        <f t="shared" si="146"/>
        <v>1</v>
      </c>
      <c r="J153" s="5" t="str">
        <f t="shared" si="141"/>
        <v/>
      </c>
      <c r="K153" s="5" t="str">
        <f t="shared" si="142"/>
        <v/>
      </c>
      <c r="L153" s="5" t="s">
        <v>50</v>
      </c>
      <c r="M153" s="5" t="s">
        <v>247</v>
      </c>
      <c r="N153" s="5" t="s">
        <v>99</v>
      </c>
      <c r="Q153" s="5" t="s">
        <v>100</v>
      </c>
      <c r="S153" s="5" t="s">
        <v>91</v>
      </c>
      <c r="T153" s="5" t="s">
        <v>247</v>
      </c>
      <c r="U153" s="5" t="s">
        <v>65</v>
      </c>
      <c r="V153" s="5" t="s">
        <v>268</v>
      </c>
      <c r="W153" s="5">
        <v>2</v>
      </c>
    </row>
    <row r="154" s="4" customFormat="1" spans="1:22">
      <c r="A154" s="4">
        <v>11011001</v>
      </c>
      <c r="B154" s="4" t="s">
        <v>277</v>
      </c>
      <c r="C154" s="4" t="str">
        <f t="shared" si="136"/>
        <v>item_11011001</v>
      </c>
      <c r="D154" s="4" t="str">
        <f t="shared" si="137"/>
        <v>item_desc_11011001</v>
      </c>
      <c r="E154" s="4" t="str">
        <f t="shared" si="138"/>
        <v>item_11011001</v>
      </c>
      <c r="F154" s="4" t="str">
        <f t="shared" si="139"/>
        <v>110110</v>
      </c>
      <c r="G154" s="6">
        <f t="shared" si="140"/>
        <v>1</v>
      </c>
      <c r="H154" s="6">
        <f t="shared" si="146"/>
        <v>1</v>
      </c>
      <c r="J154" s="4">
        <f t="shared" si="141"/>
        <v>11011002</v>
      </c>
      <c r="K154" s="4">
        <f t="shared" si="142"/>
        <v>5</v>
      </c>
      <c r="L154" s="4" t="s">
        <v>50</v>
      </c>
      <c r="M154" s="4" t="s">
        <v>166</v>
      </c>
      <c r="N154" s="4" t="s">
        <v>64</v>
      </c>
      <c r="Q154" s="4" t="s">
        <v>50</v>
      </c>
      <c r="S154" s="4" t="str">
        <f>IF(AND(H148=1,G148&gt;4),1,"")</f>
        <v/>
      </c>
      <c r="T154" s="4" t="s">
        <v>50</v>
      </c>
      <c r="U154" s="4" t="s">
        <v>65</v>
      </c>
      <c r="V154" s="4" t="s">
        <v>268</v>
      </c>
    </row>
    <row r="155" s="4" customFormat="1" spans="1:22">
      <c r="A155" s="4">
        <v>11011002</v>
      </c>
      <c r="B155" s="4" t="s">
        <v>278</v>
      </c>
      <c r="C155" s="4" t="str">
        <f t="shared" si="136"/>
        <v>item_11011002</v>
      </c>
      <c r="D155" s="4" t="str">
        <f t="shared" si="137"/>
        <v>item_desc_11011002</v>
      </c>
      <c r="E155" s="4" t="str">
        <f t="shared" si="138"/>
        <v>item_11011002</v>
      </c>
      <c r="F155" s="4" t="str">
        <f t="shared" si="139"/>
        <v>110110</v>
      </c>
      <c r="G155" s="6">
        <f t="shared" si="140"/>
        <v>2</v>
      </c>
      <c r="H155" s="6">
        <f t="shared" si="146"/>
        <v>1</v>
      </c>
      <c r="J155" s="4">
        <f t="shared" si="141"/>
        <v>11011003</v>
      </c>
      <c r="K155" s="4">
        <f t="shared" si="142"/>
        <v>5</v>
      </c>
      <c r="L155" s="4" t="s">
        <v>50</v>
      </c>
      <c r="M155" s="4" t="s">
        <v>202</v>
      </c>
      <c r="N155" s="4" t="s">
        <v>69</v>
      </c>
      <c r="Q155" s="4" t="s">
        <v>50</v>
      </c>
      <c r="S155" s="4" t="str">
        <f>IF(AND(H155=1,G155&gt;4),1,"")</f>
        <v/>
      </c>
      <c r="T155" s="4" t="s">
        <v>50</v>
      </c>
      <c r="U155" s="4" t="s">
        <v>65</v>
      </c>
      <c r="V155" s="4" t="s">
        <v>268</v>
      </c>
    </row>
    <row r="156" s="4" customFormat="1" spans="1:23">
      <c r="A156" s="4">
        <v>11011003</v>
      </c>
      <c r="B156" s="4" t="s">
        <v>279</v>
      </c>
      <c r="C156" s="4" t="str">
        <f t="shared" si="136"/>
        <v>item_11011003</v>
      </c>
      <c r="D156" s="4" t="str">
        <f t="shared" si="137"/>
        <v>item_desc_11011003</v>
      </c>
      <c r="E156" s="4" t="str">
        <f t="shared" si="138"/>
        <v>item_11011003</v>
      </c>
      <c r="F156" s="4" t="str">
        <f t="shared" si="139"/>
        <v>110110</v>
      </c>
      <c r="G156" s="6">
        <f t="shared" si="140"/>
        <v>3</v>
      </c>
      <c r="H156" s="6">
        <f t="shared" si="146"/>
        <v>1</v>
      </c>
      <c r="J156" s="4">
        <f t="shared" si="141"/>
        <v>11011004</v>
      </c>
      <c r="K156" s="4">
        <f t="shared" si="142"/>
        <v>5</v>
      </c>
      <c r="L156" s="4">
        <v>1</v>
      </c>
      <c r="M156" s="4" t="s">
        <v>229</v>
      </c>
      <c r="N156" s="4" t="s">
        <v>72</v>
      </c>
      <c r="Q156" s="4" t="s">
        <v>50</v>
      </c>
      <c r="S156" s="4" t="s">
        <v>251</v>
      </c>
      <c r="T156" s="4" t="s">
        <v>231</v>
      </c>
      <c r="U156" s="4" t="s">
        <v>65</v>
      </c>
      <c r="V156" s="4" t="s">
        <v>268</v>
      </c>
      <c r="W156" s="4">
        <v>1</v>
      </c>
    </row>
    <row r="157" s="4" customFormat="1" spans="1:23">
      <c r="A157" s="4">
        <v>11011004</v>
      </c>
      <c r="B157" s="4" t="s">
        <v>280</v>
      </c>
      <c r="C157" s="4" t="str">
        <f t="shared" si="136"/>
        <v>item_11011004</v>
      </c>
      <c r="D157" s="4" t="str">
        <f t="shared" si="137"/>
        <v>item_desc_11011004</v>
      </c>
      <c r="E157" s="4" t="str">
        <f t="shared" si="138"/>
        <v>item_11011004</v>
      </c>
      <c r="F157" s="4" t="str">
        <f t="shared" si="139"/>
        <v>110110</v>
      </c>
      <c r="G157" s="6">
        <f t="shared" si="140"/>
        <v>4</v>
      </c>
      <c r="H157" s="6">
        <f t="shared" si="146"/>
        <v>1</v>
      </c>
      <c r="J157" s="4">
        <f t="shared" si="141"/>
        <v>11011005</v>
      </c>
      <c r="K157" s="4">
        <f t="shared" si="142"/>
        <v>6</v>
      </c>
      <c r="L157" s="4">
        <v>1</v>
      </c>
      <c r="M157" s="4" t="s">
        <v>233</v>
      </c>
      <c r="N157" s="4" t="s">
        <v>75</v>
      </c>
      <c r="Q157" s="4" t="s">
        <v>90</v>
      </c>
      <c r="S157" s="4" t="s">
        <v>253</v>
      </c>
      <c r="T157" s="4" t="s">
        <v>235</v>
      </c>
      <c r="U157" s="4" t="s">
        <v>65</v>
      </c>
      <c r="V157" s="4" t="s">
        <v>268</v>
      </c>
      <c r="W157" s="4">
        <v>1</v>
      </c>
    </row>
    <row r="158" s="4" customFormat="1" spans="1:23">
      <c r="A158" s="4">
        <v>11011005</v>
      </c>
      <c r="B158" s="4" t="s">
        <v>281</v>
      </c>
      <c r="C158" s="4" t="str">
        <f t="shared" si="136"/>
        <v>item_11011005</v>
      </c>
      <c r="D158" s="4" t="str">
        <f t="shared" si="137"/>
        <v>item_desc_11011005</v>
      </c>
      <c r="E158" s="4" t="str">
        <f t="shared" si="138"/>
        <v>item_11011005</v>
      </c>
      <c r="F158" s="4" t="str">
        <f t="shared" si="139"/>
        <v>110110</v>
      </c>
      <c r="G158" s="6">
        <f t="shared" si="140"/>
        <v>5</v>
      </c>
      <c r="H158" s="6">
        <f t="shared" si="146"/>
        <v>1</v>
      </c>
      <c r="J158" s="4">
        <f t="shared" si="141"/>
        <v>11011006</v>
      </c>
      <c r="K158" s="4">
        <f t="shared" si="142"/>
        <v>7</v>
      </c>
      <c r="L158" s="4">
        <v>1</v>
      </c>
      <c r="M158" s="4" t="s">
        <v>237</v>
      </c>
      <c r="N158" s="4" t="s">
        <v>79</v>
      </c>
      <c r="Q158" s="4" t="s">
        <v>95</v>
      </c>
      <c r="S158" s="4" t="s">
        <v>255</v>
      </c>
      <c r="T158" s="4" t="s">
        <v>239</v>
      </c>
      <c r="U158" s="4" t="s">
        <v>65</v>
      </c>
      <c r="V158" s="4" t="s">
        <v>268</v>
      </c>
      <c r="W158" s="4">
        <v>2</v>
      </c>
    </row>
    <row r="159" s="5" customFormat="1" spans="1:23">
      <c r="A159" s="5">
        <v>11011006</v>
      </c>
      <c r="B159" s="5" t="s">
        <v>282</v>
      </c>
      <c r="C159" s="5" t="str">
        <f t="shared" si="136"/>
        <v>item_11011006</v>
      </c>
      <c r="D159" s="5" t="str">
        <f t="shared" si="137"/>
        <v>item_desc_11011006</v>
      </c>
      <c r="E159" s="5" t="str">
        <f t="shared" si="138"/>
        <v>item_11011006</v>
      </c>
      <c r="F159" s="5" t="str">
        <f t="shared" si="139"/>
        <v>110110</v>
      </c>
      <c r="G159" s="5">
        <f t="shared" si="140"/>
        <v>6</v>
      </c>
      <c r="H159" s="5">
        <f t="shared" si="146"/>
        <v>1</v>
      </c>
      <c r="J159" s="5" t="str">
        <f t="shared" si="141"/>
        <v/>
      </c>
      <c r="K159" s="5" t="str">
        <f t="shared" si="142"/>
        <v/>
      </c>
      <c r="L159" s="5" t="s">
        <v>50</v>
      </c>
      <c r="M159" s="5" t="s">
        <v>241</v>
      </c>
      <c r="N159" s="5" t="s">
        <v>84</v>
      </c>
      <c r="Q159" s="5" t="s">
        <v>100</v>
      </c>
      <c r="S159" s="5" t="s">
        <v>257</v>
      </c>
      <c r="T159" s="5" t="s">
        <v>243</v>
      </c>
      <c r="U159" s="5" t="s">
        <v>65</v>
      </c>
      <c r="V159" s="5" t="s">
        <v>268</v>
      </c>
      <c r="W159" s="5">
        <v>2</v>
      </c>
    </row>
    <row r="160" s="4" customFormat="1" spans="1:20">
      <c r="A160" s="4">
        <v>11020801</v>
      </c>
      <c r="B160" s="4" t="s">
        <v>283</v>
      </c>
      <c r="C160" s="4" t="str">
        <f t="shared" si="136"/>
        <v>item_11020801</v>
      </c>
      <c r="D160" s="4" t="str">
        <f t="shared" si="137"/>
        <v>item_desc_11020801</v>
      </c>
      <c r="E160" s="4" t="str">
        <f t="shared" si="138"/>
        <v>item_11020801</v>
      </c>
      <c r="F160" s="4" t="str">
        <f t="shared" si="139"/>
        <v>110208</v>
      </c>
      <c r="G160" s="6">
        <f t="shared" si="140"/>
        <v>1</v>
      </c>
      <c r="H160" s="6">
        <v>1</v>
      </c>
      <c r="J160" s="4">
        <f t="shared" si="141"/>
        <v>11020802</v>
      </c>
      <c r="K160" s="4">
        <f t="shared" si="142"/>
        <v>5</v>
      </c>
      <c r="L160" s="4" t="s">
        <v>50</v>
      </c>
      <c r="Q160" s="4" t="s">
        <v>50</v>
      </c>
      <c r="S160" s="4" t="str">
        <f t="shared" ref="S160:S168" si="147">IF(AND(H160=1,G160&gt;4),1,"")</f>
        <v/>
      </c>
      <c r="T160" s="4" t="s">
        <v>50</v>
      </c>
    </row>
    <row r="161" s="4" customFormat="1" spans="1:20">
      <c r="A161" s="4">
        <v>11020802</v>
      </c>
      <c r="B161" s="4" t="s">
        <v>284</v>
      </c>
      <c r="C161" s="4" t="str">
        <f t="shared" si="136"/>
        <v>item_11020802</v>
      </c>
      <c r="D161" s="4" t="str">
        <f t="shared" si="137"/>
        <v>item_desc_11020802</v>
      </c>
      <c r="E161" s="4" t="str">
        <f t="shared" si="138"/>
        <v>item_11020802</v>
      </c>
      <c r="F161" s="4" t="str">
        <f t="shared" si="139"/>
        <v>110208</v>
      </c>
      <c r="G161" s="6">
        <f t="shared" si="140"/>
        <v>2</v>
      </c>
      <c r="H161" s="6">
        <v>1</v>
      </c>
      <c r="J161" s="4">
        <f t="shared" si="141"/>
        <v>11020803</v>
      </c>
      <c r="K161" s="4">
        <f t="shared" si="142"/>
        <v>5</v>
      </c>
      <c r="L161" s="4" t="s">
        <v>50</v>
      </c>
      <c r="Q161" s="4" t="s">
        <v>50</v>
      </c>
      <c r="S161" s="4" t="str">
        <f t="shared" si="147"/>
        <v/>
      </c>
      <c r="T161" s="4" t="s">
        <v>50</v>
      </c>
    </row>
    <row r="162" s="4" customFormat="1" spans="1:23">
      <c r="A162" s="4">
        <v>11020803</v>
      </c>
      <c r="B162" s="4" t="s">
        <v>285</v>
      </c>
      <c r="C162" s="4" t="str">
        <f t="shared" si="136"/>
        <v>item_11020803</v>
      </c>
      <c r="D162" s="4" t="str">
        <f t="shared" si="137"/>
        <v>item_desc_11020803</v>
      </c>
      <c r="E162" s="4" t="str">
        <f t="shared" si="138"/>
        <v>item_11020803</v>
      </c>
      <c r="F162" s="4" t="str">
        <f t="shared" si="139"/>
        <v>110208</v>
      </c>
      <c r="G162" s="6">
        <f t="shared" si="140"/>
        <v>3</v>
      </c>
      <c r="H162" s="6">
        <f t="shared" ref="H162:H165" si="148">VALUE(MID(A162,4,1))</f>
        <v>2</v>
      </c>
      <c r="J162" s="4">
        <f t="shared" si="141"/>
        <v>11020804</v>
      </c>
      <c r="K162" s="4" t="str">
        <f t="shared" si="142"/>
        <v/>
      </c>
      <c r="L162" s="4" t="s">
        <v>50</v>
      </c>
      <c r="Q162" s="4" t="s">
        <v>54</v>
      </c>
      <c r="S162" s="4" t="str">
        <f t="shared" si="147"/>
        <v/>
      </c>
      <c r="T162" s="4" t="s">
        <v>50</v>
      </c>
      <c r="W162" s="4">
        <v>1</v>
      </c>
    </row>
    <row r="163" s="4" customFormat="1" spans="1:23">
      <c r="A163" s="4">
        <v>11020804</v>
      </c>
      <c r="B163" s="4" t="s">
        <v>286</v>
      </c>
      <c r="C163" s="4" t="str">
        <f t="shared" si="136"/>
        <v>item_11020804</v>
      </c>
      <c r="D163" s="4" t="str">
        <f t="shared" si="137"/>
        <v>item_desc_11020804</v>
      </c>
      <c r="E163" s="4" t="str">
        <f t="shared" si="138"/>
        <v>item_11020804</v>
      </c>
      <c r="F163" s="4" t="str">
        <f t="shared" si="139"/>
        <v>110208</v>
      </c>
      <c r="G163" s="6">
        <f t="shared" si="140"/>
        <v>4</v>
      </c>
      <c r="H163" s="6">
        <f t="shared" si="148"/>
        <v>2</v>
      </c>
      <c r="J163" s="4">
        <f t="shared" si="141"/>
        <v>11020805</v>
      </c>
      <c r="K163" s="4" t="str">
        <f t="shared" si="142"/>
        <v/>
      </c>
      <c r="L163" s="4" t="s">
        <v>50</v>
      </c>
      <c r="Q163" s="4" t="s">
        <v>57</v>
      </c>
      <c r="S163" s="4" t="str">
        <f t="shared" si="147"/>
        <v/>
      </c>
      <c r="T163" s="4" t="s">
        <v>50</v>
      </c>
      <c r="W163" s="4">
        <v>1</v>
      </c>
    </row>
    <row r="164" s="4" customFormat="1" spans="1:23">
      <c r="A164" s="4">
        <v>11020805</v>
      </c>
      <c r="B164" s="4" t="s">
        <v>287</v>
      </c>
      <c r="C164" s="4" t="str">
        <f t="shared" si="136"/>
        <v>item_11020805</v>
      </c>
      <c r="D164" s="4" t="str">
        <f t="shared" si="137"/>
        <v>item_desc_11020805</v>
      </c>
      <c r="E164" s="4" t="str">
        <f t="shared" si="138"/>
        <v>item_11020805</v>
      </c>
      <c r="F164" s="4" t="str">
        <f t="shared" si="139"/>
        <v>110208</v>
      </c>
      <c r="G164" s="6">
        <f t="shared" si="140"/>
        <v>5</v>
      </c>
      <c r="H164" s="6">
        <f t="shared" si="148"/>
        <v>2</v>
      </c>
      <c r="J164" s="4">
        <f t="shared" si="141"/>
        <v>11020806</v>
      </c>
      <c r="K164" s="4" t="str">
        <f t="shared" si="142"/>
        <v/>
      </c>
      <c r="L164" s="4" t="s">
        <v>50</v>
      </c>
      <c r="Q164" s="4" t="s">
        <v>57</v>
      </c>
      <c r="S164" s="4" t="str">
        <f t="shared" si="147"/>
        <v/>
      </c>
      <c r="T164" s="4" t="s">
        <v>50</v>
      </c>
      <c r="W164" s="4">
        <v>2</v>
      </c>
    </row>
    <row r="165" s="5" customFormat="1" spans="1:23">
      <c r="A165" s="5">
        <v>11020806</v>
      </c>
      <c r="B165" s="5" t="s">
        <v>288</v>
      </c>
      <c r="C165" s="5" t="str">
        <f t="shared" si="136"/>
        <v>item_11020806</v>
      </c>
      <c r="D165" s="5" t="str">
        <f t="shared" si="137"/>
        <v>item_desc_11020806</v>
      </c>
      <c r="E165" s="5" t="str">
        <f t="shared" si="138"/>
        <v>item_11020806</v>
      </c>
      <c r="F165" s="5" t="str">
        <f t="shared" si="139"/>
        <v>110208</v>
      </c>
      <c r="G165" s="5">
        <f t="shared" si="140"/>
        <v>6</v>
      </c>
      <c r="H165" s="5">
        <f t="shared" si="148"/>
        <v>2</v>
      </c>
      <c r="J165" s="5" t="str">
        <f t="shared" si="141"/>
        <v/>
      </c>
      <c r="K165" s="5" t="str">
        <f t="shared" si="142"/>
        <v/>
      </c>
      <c r="L165" s="5" t="s">
        <v>50</v>
      </c>
      <c r="Q165" s="5" t="s">
        <v>61</v>
      </c>
      <c r="S165" s="5" t="str">
        <f t="shared" si="147"/>
        <v/>
      </c>
      <c r="T165" s="5" t="s">
        <v>50</v>
      </c>
      <c r="W165" s="5">
        <v>2</v>
      </c>
    </row>
    <row r="166" s="4" customFormat="1" spans="1:22">
      <c r="A166" s="4">
        <v>11020901</v>
      </c>
      <c r="B166" s="4" t="s">
        <v>289</v>
      </c>
      <c r="C166" s="4" t="str">
        <f t="shared" si="136"/>
        <v>item_11020901</v>
      </c>
      <c r="D166" s="4" t="str">
        <f t="shared" si="137"/>
        <v>item_desc_11020901</v>
      </c>
      <c r="E166" s="4" t="str">
        <f t="shared" si="138"/>
        <v>item_11020901</v>
      </c>
      <c r="F166" s="4" t="str">
        <f t="shared" si="139"/>
        <v>110209</v>
      </c>
      <c r="G166" s="6">
        <f t="shared" si="140"/>
        <v>1</v>
      </c>
      <c r="H166" s="6">
        <v>1</v>
      </c>
      <c r="J166" s="4">
        <f t="shared" si="141"/>
        <v>11020902</v>
      </c>
      <c r="K166" s="4">
        <f t="shared" si="142"/>
        <v>5</v>
      </c>
      <c r="L166" s="4" t="s">
        <v>50</v>
      </c>
      <c r="M166" s="4" t="s">
        <v>63</v>
      </c>
      <c r="Q166" s="4" t="s">
        <v>50</v>
      </c>
      <c r="S166" s="4" t="str">
        <f t="shared" si="147"/>
        <v/>
      </c>
      <c r="T166" s="4" t="s">
        <v>50</v>
      </c>
      <c r="U166" s="4" t="s">
        <v>65</v>
      </c>
      <c r="V166" s="4" t="s">
        <v>290</v>
      </c>
    </row>
    <row r="167" s="4" customFormat="1" spans="1:22">
      <c r="A167" s="4">
        <v>11020902</v>
      </c>
      <c r="B167" s="4" t="s">
        <v>291</v>
      </c>
      <c r="C167" s="4" t="str">
        <f t="shared" si="136"/>
        <v>item_11020902</v>
      </c>
      <c r="D167" s="4" t="str">
        <f t="shared" si="137"/>
        <v>item_desc_11020902</v>
      </c>
      <c r="E167" s="4" t="str">
        <f t="shared" si="138"/>
        <v>item_11020902</v>
      </c>
      <c r="F167" s="4" t="str">
        <f t="shared" si="139"/>
        <v>110209</v>
      </c>
      <c r="G167" s="6">
        <f t="shared" si="140"/>
        <v>2</v>
      </c>
      <c r="H167" s="6">
        <v>1</v>
      </c>
      <c r="J167" s="4">
        <f t="shared" si="141"/>
        <v>11020903</v>
      </c>
      <c r="K167" s="4">
        <f t="shared" si="142"/>
        <v>5</v>
      </c>
      <c r="L167" s="4" t="s">
        <v>50</v>
      </c>
      <c r="M167" s="4" t="s">
        <v>166</v>
      </c>
      <c r="Q167" s="4" t="s">
        <v>50</v>
      </c>
      <c r="S167" s="4" t="str">
        <f t="shared" si="147"/>
        <v/>
      </c>
      <c r="T167" s="4" t="s">
        <v>50</v>
      </c>
      <c r="U167" s="4" t="s">
        <v>65</v>
      </c>
      <c r="V167" s="4" t="s">
        <v>290</v>
      </c>
    </row>
    <row r="168" s="4" customFormat="1" spans="1:22">
      <c r="A168" s="4">
        <v>11020903</v>
      </c>
      <c r="B168" s="4" t="s">
        <v>292</v>
      </c>
      <c r="C168" s="4" t="str">
        <f t="shared" si="136"/>
        <v>item_11020903</v>
      </c>
      <c r="D168" s="4" t="str">
        <f t="shared" si="137"/>
        <v>item_desc_11020903</v>
      </c>
      <c r="E168" s="4" t="str">
        <f t="shared" si="138"/>
        <v>item_11020903</v>
      </c>
      <c r="F168" s="4" t="str">
        <f t="shared" si="139"/>
        <v>110209</v>
      </c>
      <c r="G168" s="6">
        <f t="shared" si="140"/>
        <v>3</v>
      </c>
      <c r="H168" s="6">
        <v>1</v>
      </c>
      <c r="J168" s="4">
        <f t="shared" si="141"/>
        <v>11020904</v>
      </c>
      <c r="K168" s="4">
        <f t="shared" si="142"/>
        <v>5</v>
      </c>
      <c r="L168" s="4" t="s">
        <v>50</v>
      </c>
      <c r="M168" s="4" t="s">
        <v>202</v>
      </c>
      <c r="Q168" s="4" t="s">
        <v>50</v>
      </c>
      <c r="S168" s="4" t="str">
        <f t="shared" si="147"/>
        <v/>
      </c>
      <c r="T168" s="4" t="s">
        <v>50</v>
      </c>
      <c r="U168" s="4" t="s">
        <v>65</v>
      </c>
      <c r="V168" s="4" t="s">
        <v>290</v>
      </c>
    </row>
    <row r="169" s="5" customFormat="1" spans="1:23">
      <c r="A169" s="5">
        <v>11020904</v>
      </c>
      <c r="B169" s="5" t="s">
        <v>293</v>
      </c>
      <c r="C169" s="5" t="str">
        <f t="shared" ref="C169:C194" si="149">"item_"&amp;A169</f>
        <v>item_11020904</v>
      </c>
      <c r="D169" s="5" t="str">
        <f t="shared" ref="D169:D194" si="150">"item_desc_"&amp;A169</f>
        <v>item_desc_11020904</v>
      </c>
      <c r="E169" s="5" t="str">
        <f t="shared" ref="E169:E194" si="151">"item_"&amp;A169</f>
        <v>item_11020904</v>
      </c>
      <c r="F169" s="5" t="str">
        <f t="shared" si="139"/>
        <v>110209</v>
      </c>
      <c r="G169" s="5">
        <f t="shared" si="140"/>
        <v>4</v>
      </c>
      <c r="H169" s="5">
        <f t="shared" ref="H169:H176" si="152">VALUE(MID(A169,4,1))</f>
        <v>2</v>
      </c>
      <c r="J169" s="5" t="str">
        <f t="shared" si="141"/>
        <v/>
      </c>
      <c r="K169" s="5" t="str">
        <f t="shared" si="142"/>
        <v/>
      </c>
      <c r="L169" s="5" t="s">
        <v>50</v>
      </c>
      <c r="M169" s="5" t="s">
        <v>229</v>
      </c>
      <c r="Q169" s="5" t="s">
        <v>54</v>
      </c>
      <c r="S169" s="5" t="s">
        <v>294</v>
      </c>
      <c r="T169" s="5" t="s">
        <v>229</v>
      </c>
      <c r="U169" s="5" t="s">
        <v>65</v>
      </c>
      <c r="V169" s="5" t="s">
        <v>290</v>
      </c>
      <c r="W169" s="5">
        <v>1</v>
      </c>
    </row>
    <row r="170" s="4" customFormat="1" spans="1:22">
      <c r="A170" s="4">
        <v>11011101</v>
      </c>
      <c r="B170" s="4" t="s">
        <v>295</v>
      </c>
      <c r="C170" s="4" t="str">
        <f t="shared" si="149"/>
        <v>item_11011101</v>
      </c>
      <c r="D170" s="4" t="str">
        <f t="shared" si="150"/>
        <v>item_desc_11011101</v>
      </c>
      <c r="E170" s="4" t="str">
        <f t="shared" si="151"/>
        <v>item_11011101</v>
      </c>
      <c r="F170" s="4" t="str">
        <f t="shared" si="139"/>
        <v>110111</v>
      </c>
      <c r="G170" s="6">
        <f t="shared" si="140"/>
        <v>1</v>
      </c>
      <c r="H170" s="6">
        <f t="shared" si="152"/>
        <v>1</v>
      </c>
      <c r="J170" s="4">
        <f t="shared" si="141"/>
        <v>11011102</v>
      </c>
      <c r="K170" s="4">
        <f t="shared" si="142"/>
        <v>5</v>
      </c>
      <c r="L170" s="4" t="s">
        <v>50</v>
      </c>
      <c r="M170" s="4" t="s">
        <v>166</v>
      </c>
      <c r="N170" s="4" t="s">
        <v>69</v>
      </c>
      <c r="Q170" s="4" t="s">
        <v>50</v>
      </c>
      <c r="S170" s="4" t="str">
        <f t="shared" ref="S170:S172" si="153">IF(AND(H170=1,G170&gt;4),1,"")</f>
        <v/>
      </c>
      <c r="T170" s="4" t="s">
        <v>50</v>
      </c>
      <c r="U170" s="4" t="s">
        <v>296</v>
      </c>
      <c r="V170" s="4" t="s">
        <v>297</v>
      </c>
    </row>
    <row r="171" s="4" customFormat="1" spans="1:22">
      <c r="A171" s="4">
        <v>11011102</v>
      </c>
      <c r="B171" s="4" t="s">
        <v>298</v>
      </c>
      <c r="C171" s="4" t="str">
        <f t="shared" si="149"/>
        <v>item_11011102</v>
      </c>
      <c r="D171" s="4" t="str">
        <f t="shared" si="150"/>
        <v>item_desc_11011102</v>
      </c>
      <c r="E171" s="4" t="str">
        <f t="shared" si="151"/>
        <v>item_11011102</v>
      </c>
      <c r="F171" s="4" t="str">
        <f t="shared" si="139"/>
        <v>110111</v>
      </c>
      <c r="G171" s="6">
        <f t="shared" si="140"/>
        <v>2</v>
      </c>
      <c r="H171" s="6">
        <f t="shared" si="152"/>
        <v>1</v>
      </c>
      <c r="J171" s="4">
        <f t="shared" si="141"/>
        <v>11011103</v>
      </c>
      <c r="K171" s="4">
        <f t="shared" si="142"/>
        <v>5</v>
      </c>
      <c r="L171" s="4" t="s">
        <v>50</v>
      </c>
      <c r="M171" s="4" t="s">
        <v>202</v>
      </c>
      <c r="N171" s="4" t="s">
        <v>72</v>
      </c>
      <c r="Q171" s="4" t="s">
        <v>50</v>
      </c>
      <c r="S171" s="4" t="str">
        <f t="shared" si="153"/>
        <v/>
      </c>
      <c r="T171" s="4" t="s">
        <v>50</v>
      </c>
      <c r="U171" s="4" t="s">
        <v>296</v>
      </c>
      <c r="V171" s="4" t="s">
        <v>297</v>
      </c>
    </row>
    <row r="172" s="4" customFormat="1" spans="1:22">
      <c r="A172" s="4">
        <v>11011103</v>
      </c>
      <c r="B172" s="4" t="s">
        <v>299</v>
      </c>
      <c r="C172" s="4" t="str">
        <f t="shared" si="149"/>
        <v>item_11011103</v>
      </c>
      <c r="D172" s="4" t="str">
        <f t="shared" si="150"/>
        <v>item_desc_11011103</v>
      </c>
      <c r="E172" s="4" t="str">
        <f t="shared" si="151"/>
        <v>item_11011103</v>
      </c>
      <c r="F172" s="4" t="str">
        <f t="shared" si="139"/>
        <v>110111</v>
      </c>
      <c r="G172" s="6">
        <f t="shared" si="140"/>
        <v>3</v>
      </c>
      <c r="H172" s="6">
        <f t="shared" si="152"/>
        <v>1</v>
      </c>
      <c r="J172" s="4">
        <f t="shared" si="141"/>
        <v>11011104</v>
      </c>
      <c r="K172" s="4">
        <f t="shared" si="142"/>
        <v>5</v>
      </c>
      <c r="L172" s="4" t="s">
        <v>50</v>
      </c>
      <c r="M172" s="4" t="s">
        <v>229</v>
      </c>
      <c r="N172" s="4" t="s">
        <v>75</v>
      </c>
      <c r="Q172" s="4" t="s">
        <v>50</v>
      </c>
      <c r="S172" s="4" t="str">
        <f t="shared" si="153"/>
        <v/>
      </c>
      <c r="T172" s="4" t="s">
        <v>50</v>
      </c>
      <c r="U172" s="4" t="s">
        <v>296</v>
      </c>
      <c r="V172" s="4" t="s">
        <v>297</v>
      </c>
    </row>
    <row r="173" s="4" customFormat="1" spans="1:23">
      <c r="A173" s="4">
        <v>11011104</v>
      </c>
      <c r="B173" s="4" t="s">
        <v>300</v>
      </c>
      <c r="C173" s="4" t="str">
        <f t="shared" si="149"/>
        <v>item_11011104</v>
      </c>
      <c r="D173" s="4" t="str">
        <f t="shared" si="150"/>
        <v>item_desc_11011104</v>
      </c>
      <c r="E173" s="4" t="str">
        <f t="shared" si="151"/>
        <v>item_11011104</v>
      </c>
      <c r="F173" s="4" t="str">
        <f t="shared" si="139"/>
        <v>110111</v>
      </c>
      <c r="G173" s="6">
        <f t="shared" si="140"/>
        <v>4</v>
      </c>
      <c r="H173" s="6">
        <f t="shared" si="152"/>
        <v>1</v>
      </c>
      <c r="J173" s="4">
        <f t="shared" si="141"/>
        <v>11011105</v>
      </c>
      <c r="K173" s="4">
        <f t="shared" si="142"/>
        <v>6</v>
      </c>
      <c r="L173" s="4">
        <v>1</v>
      </c>
      <c r="M173" s="4" t="s">
        <v>233</v>
      </c>
      <c r="N173" s="4" t="s">
        <v>79</v>
      </c>
      <c r="Q173" s="4" t="s">
        <v>85</v>
      </c>
      <c r="S173" s="4" t="s">
        <v>234</v>
      </c>
      <c r="T173" s="4" t="s">
        <v>235</v>
      </c>
      <c r="U173" s="4" t="s">
        <v>296</v>
      </c>
      <c r="V173" s="4" t="s">
        <v>297</v>
      </c>
      <c r="W173" s="4">
        <v>1</v>
      </c>
    </row>
    <row r="174" s="4" customFormat="1" spans="1:23">
      <c r="A174" s="4">
        <v>11011105</v>
      </c>
      <c r="B174" s="4" t="s">
        <v>301</v>
      </c>
      <c r="C174" s="4" t="str">
        <f t="shared" si="149"/>
        <v>item_11011105</v>
      </c>
      <c r="D174" s="4" t="str">
        <f t="shared" si="150"/>
        <v>item_desc_11011105</v>
      </c>
      <c r="E174" s="4" t="str">
        <f t="shared" si="151"/>
        <v>item_11011105</v>
      </c>
      <c r="F174" s="4" t="str">
        <f t="shared" si="139"/>
        <v>110111</v>
      </c>
      <c r="G174" s="6">
        <f t="shared" si="140"/>
        <v>5</v>
      </c>
      <c r="H174" s="6">
        <f t="shared" si="152"/>
        <v>1</v>
      </c>
      <c r="J174" s="4">
        <f t="shared" si="141"/>
        <v>11011106</v>
      </c>
      <c r="K174" s="4">
        <f t="shared" si="142"/>
        <v>7</v>
      </c>
      <c r="L174" s="4">
        <v>1</v>
      </c>
      <c r="M174" s="4" t="s">
        <v>237</v>
      </c>
      <c r="N174" s="4" t="s">
        <v>84</v>
      </c>
      <c r="Q174" s="4" t="s">
        <v>85</v>
      </c>
      <c r="S174" s="4" t="s">
        <v>238</v>
      </c>
      <c r="T174" s="4" t="s">
        <v>239</v>
      </c>
      <c r="U174" s="4" t="s">
        <v>296</v>
      </c>
      <c r="V174" s="4" t="s">
        <v>297</v>
      </c>
      <c r="W174" s="4">
        <v>1</v>
      </c>
    </row>
    <row r="175" s="4" customFormat="1" spans="1:23">
      <c r="A175" s="4">
        <v>11011106</v>
      </c>
      <c r="B175" s="4" t="s">
        <v>302</v>
      </c>
      <c r="C175" s="4" t="str">
        <f t="shared" si="149"/>
        <v>item_11011106</v>
      </c>
      <c r="D175" s="4" t="str">
        <f t="shared" si="150"/>
        <v>item_desc_11011106</v>
      </c>
      <c r="E175" s="4" t="str">
        <f t="shared" si="151"/>
        <v>item_11011106</v>
      </c>
      <c r="F175" s="4" t="str">
        <f t="shared" si="139"/>
        <v>110111</v>
      </c>
      <c r="G175" s="6">
        <f t="shared" si="140"/>
        <v>6</v>
      </c>
      <c r="H175" s="6">
        <f t="shared" si="152"/>
        <v>1</v>
      </c>
      <c r="J175" s="4">
        <f t="shared" si="141"/>
        <v>11011107</v>
      </c>
      <c r="K175" s="4" t="str">
        <f t="shared" si="142"/>
        <v/>
      </c>
      <c r="L175" s="4">
        <v>1</v>
      </c>
      <c r="M175" s="4" t="s">
        <v>241</v>
      </c>
      <c r="N175" s="4" t="s">
        <v>89</v>
      </c>
      <c r="Q175" s="4" t="s">
        <v>85</v>
      </c>
      <c r="S175" s="4" t="s">
        <v>242</v>
      </c>
      <c r="T175" s="4" t="s">
        <v>243</v>
      </c>
      <c r="U175" s="4" t="s">
        <v>296</v>
      </c>
      <c r="V175" s="4" t="s">
        <v>297</v>
      </c>
      <c r="W175" s="4">
        <v>1</v>
      </c>
    </row>
    <row r="176" s="5" customFormat="1" spans="1:23">
      <c r="A176" s="5">
        <v>11011107</v>
      </c>
      <c r="B176" s="5" t="s">
        <v>303</v>
      </c>
      <c r="C176" s="5" t="str">
        <f t="shared" si="149"/>
        <v>item_11011107</v>
      </c>
      <c r="D176" s="5" t="str">
        <f t="shared" si="150"/>
        <v>item_desc_11011107</v>
      </c>
      <c r="E176" s="5" t="str">
        <f t="shared" si="151"/>
        <v>item_11011107</v>
      </c>
      <c r="F176" s="5" t="str">
        <f t="shared" ref="F176:F199" si="154">LEFT(A176,6)</f>
        <v>110111</v>
      </c>
      <c r="G176" s="5">
        <f t="shared" ref="G176:G194" si="155">IF(LEFT(A176,6)=LEFT(A175,6),G175+1,1)</f>
        <v>7</v>
      </c>
      <c r="H176" s="5">
        <f t="shared" si="152"/>
        <v>1</v>
      </c>
      <c r="J176" s="5" t="str">
        <f t="shared" ref="J176:J194" si="156">IF(A177-A176=1,A177,"")</f>
        <v/>
      </c>
      <c r="K176" s="5" t="str">
        <f t="shared" ref="K176:K194" si="157">IF(AND(H176=1,G176&lt;=5),MAX(5,G176+2),"")</f>
        <v/>
      </c>
      <c r="L176" s="5" t="s">
        <v>50</v>
      </c>
      <c r="M176" s="5" t="s">
        <v>245</v>
      </c>
      <c r="N176" s="5" t="s">
        <v>94</v>
      </c>
      <c r="Q176" s="5" t="s">
        <v>100</v>
      </c>
      <c r="S176" s="5" t="s">
        <v>91</v>
      </c>
      <c r="T176" s="5" t="s">
        <v>245</v>
      </c>
      <c r="U176" s="5" t="s">
        <v>296</v>
      </c>
      <c r="V176" s="5" t="s">
        <v>297</v>
      </c>
      <c r="W176" s="5">
        <v>2</v>
      </c>
    </row>
    <row r="177" s="4" customFormat="1" spans="1:22">
      <c r="A177" s="4">
        <v>11021001</v>
      </c>
      <c r="B177" s="4" t="s">
        <v>304</v>
      </c>
      <c r="C177" s="4" t="str">
        <f t="shared" si="149"/>
        <v>item_11021001</v>
      </c>
      <c r="D177" s="4" t="str">
        <f t="shared" si="150"/>
        <v>item_desc_11021001</v>
      </c>
      <c r="E177" s="4" t="str">
        <f t="shared" si="151"/>
        <v>item_11021001</v>
      </c>
      <c r="F177" s="4" t="str">
        <f t="shared" si="154"/>
        <v>110210</v>
      </c>
      <c r="G177" s="6">
        <f t="shared" si="155"/>
        <v>1</v>
      </c>
      <c r="H177" s="6">
        <v>1</v>
      </c>
      <c r="J177" s="4">
        <f t="shared" si="156"/>
        <v>11021002</v>
      </c>
      <c r="K177" s="4">
        <f t="shared" si="157"/>
        <v>5</v>
      </c>
      <c r="L177" s="4" t="s">
        <v>50</v>
      </c>
      <c r="Q177" s="4" t="s">
        <v>50</v>
      </c>
      <c r="S177" s="4" t="str">
        <f t="shared" ref="S177:S188" si="158">IF(AND(H177=1,G177&gt;4),1,"")</f>
        <v/>
      </c>
      <c r="T177" s="4" t="s">
        <v>50</v>
      </c>
      <c r="V177" s="4" t="s">
        <v>50</v>
      </c>
    </row>
    <row r="178" s="4" customFormat="1" spans="1:22">
      <c r="A178" s="4">
        <v>11021002</v>
      </c>
      <c r="B178" s="4" t="s">
        <v>305</v>
      </c>
      <c r="C178" s="4" t="str">
        <f t="shared" si="149"/>
        <v>item_11021002</v>
      </c>
      <c r="D178" s="4" t="str">
        <f t="shared" si="150"/>
        <v>item_desc_11021002</v>
      </c>
      <c r="E178" s="4" t="str">
        <f t="shared" si="151"/>
        <v>item_11021002</v>
      </c>
      <c r="F178" s="4" t="str">
        <f t="shared" si="154"/>
        <v>110210</v>
      </c>
      <c r="G178" s="6">
        <f t="shared" si="155"/>
        <v>2</v>
      </c>
      <c r="H178" s="6">
        <v>1</v>
      </c>
      <c r="J178" s="4">
        <f t="shared" si="156"/>
        <v>11021003</v>
      </c>
      <c r="K178" s="4">
        <f t="shared" si="157"/>
        <v>5</v>
      </c>
      <c r="L178" s="4" t="s">
        <v>50</v>
      </c>
      <c r="S178" s="4" t="str">
        <f t="shared" si="158"/>
        <v/>
      </c>
      <c r="T178" s="4" t="s">
        <v>50</v>
      </c>
      <c r="V178" s="4" t="s">
        <v>50</v>
      </c>
    </row>
    <row r="179" s="4" customFormat="1" spans="1:22">
      <c r="A179" s="4">
        <v>11021003</v>
      </c>
      <c r="B179" s="4" t="s">
        <v>306</v>
      </c>
      <c r="C179" s="4" t="str">
        <f t="shared" si="149"/>
        <v>item_11021003</v>
      </c>
      <c r="D179" s="4" t="str">
        <f t="shared" si="150"/>
        <v>item_desc_11021003</v>
      </c>
      <c r="E179" s="4" t="str">
        <f t="shared" si="151"/>
        <v>item_11021003</v>
      </c>
      <c r="F179" s="4" t="str">
        <f t="shared" si="154"/>
        <v>110210</v>
      </c>
      <c r="G179" s="6">
        <f t="shared" si="155"/>
        <v>3</v>
      </c>
      <c r="H179" s="6">
        <v>1</v>
      </c>
      <c r="J179" s="4">
        <f t="shared" si="156"/>
        <v>11021004</v>
      </c>
      <c r="K179" s="4">
        <f t="shared" si="157"/>
        <v>5</v>
      </c>
      <c r="L179" s="4" t="s">
        <v>50</v>
      </c>
      <c r="S179" s="4" t="str">
        <f t="shared" si="158"/>
        <v/>
      </c>
      <c r="T179" s="4" t="s">
        <v>50</v>
      </c>
      <c r="V179" s="4" t="s">
        <v>50</v>
      </c>
    </row>
    <row r="180" s="4" customFormat="1" spans="1:23">
      <c r="A180" s="4">
        <v>11021004</v>
      </c>
      <c r="B180" s="4" t="s">
        <v>307</v>
      </c>
      <c r="C180" s="4" t="str">
        <f t="shared" si="149"/>
        <v>item_11021004</v>
      </c>
      <c r="D180" s="4" t="str">
        <f t="shared" si="150"/>
        <v>item_desc_11021004</v>
      </c>
      <c r="E180" s="4" t="str">
        <f t="shared" si="151"/>
        <v>item_11021004</v>
      </c>
      <c r="F180" s="4" t="str">
        <f t="shared" si="154"/>
        <v>110210</v>
      </c>
      <c r="G180" s="6">
        <f t="shared" si="155"/>
        <v>4</v>
      </c>
      <c r="H180" s="6">
        <f t="shared" ref="H180:H194" si="159">VALUE(MID(A180,4,1))</f>
        <v>2</v>
      </c>
      <c r="J180" s="4">
        <f t="shared" si="156"/>
        <v>11021005</v>
      </c>
      <c r="K180" s="4" t="str">
        <f t="shared" si="157"/>
        <v/>
      </c>
      <c r="L180" s="4" t="s">
        <v>50</v>
      </c>
      <c r="Q180" s="4" t="s">
        <v>54</v>
      </c>
      <c r="S180" s="4" t="str">
        <f t="shared" si="158"/>
        <v/>
      </c>
      <c r="T180" s="4" t="s">
        <v>50</v>
      </c>
      <c r="V180" s="4" t="s">
        <v>50</v>
      </c>
      <c r="W180" s="4">
        <v>1</v>
      </c>
    </row>
    <row r="181" s="4" customFormat="1" spans="1:23">
      <c r="A181" s="4">
        <v>11021005</v>
      </c>
      <c r="B181" s="4" t="s">
        <v>308</v>
      </c>
      <c r="C181" s="4" t="str">
        <f t="shared" si="149"/>
        <v>item_11021005</v>
      </c>
      <c r="D181" s="4" t="str">
        <f t="shared" si="150"/>
        <v>item_desc_11021005</v>
      </c>
      <c r="E181" s="4" t="str">
        <f t="shared" si="151"/>
        <v>item_11021005</v>
      </c>
      <c r="F181" s="4" t="str">
        <f t="shared" si="154"/>
        <v>110210</v>
      </c>
      <c r="G181" s="6">
        <f t="shared" si="155"/>
        <v>5</v>
      </c>
      <c r="H181" s="6">
        <f t="shared" si="159"/>
        <v>2</v>
      </c>
      <c r="J181" s="4">
        <f t="shared" si="156"/>
        <v>11021006</v>
      </c>
      <c r="K181" s="4" t="str">
        <f t="shared" si="157"/>
        <v/>
      </c>
      <c r="L181" s="4" t="s">
        <v>50</v>
      </c>
      <c r="Q181" s="4" t="s">
        <v>54</v>
      </c>
      <c r="S181" s="4" t="str">
        <f t="shared" si="158"/>
        <v/>
      </c>
      <c r="T181" s="4" t="s">
        <v>50</v>
      </c>
      <c r="V181" s="4" t="s">
        <v>50</v>
      </c>
      <c r="W181" s="4">
        <v>1</v>
      </c>
    </row>
    <row r="182" s="4" customFormat="1" spans="1:23">
      <c r="A182" s="4">
        <v>11021006</v>
      </c>
      <c r="B182" s="4" t="s">
        <v>309</v>
      </c>
      <c r="C182" s="4" t="str">
        <f t="shared" si="149"/>
        <v>item_11021006</v>
      </c>
      <c r="D182" s="4" t="str">
        <f t="shared" si="150"/>
        <v>item_desc_11021006</v>
      </c>
      <c r="E182" s="4" t="str">
        <f t="shared" si="151"/>
        <v>item_11021006</v>
      </c>
      <c r="F182" s="4" t="str">
        <f t="shared" si="154"/>
        <v>110210</v>
      </c>
      <c r="G182" s="6">
        <f t="shared" si="155"/>
        <v>6</v>
      </c>
      <c r="H182" s="6">
        <f t="shared" si="159"/>
        <v>2</v>
      </c>
      <c r="J182" s="4">
        <f t="shared" si="156"/>
        <v>11021007</v>
      </c>
      <c r="K182" s="4" t="str">
        <f t="shared" si="157"/>
        <v/>
      </c>
      <c r="L182" s="4" t="s">
        <v>50</v>
      </c>
      <c r="Q182" s="4" t="s">
        <v>57</v>
      </c>
      <c r="S182" s="4" t="str">
        <f t="shared" si="158"/>
        <v/>
      </c>
      <c r="T182" s="4" t="s">
        <v>50</v>
      </c>
      <c r="V182" s="4" t="s">
        <v>50</v>
      </c>
      <c r="W182" s="4">
        <v>1</v>
      </c>
    </row>
    <row r="183" s="4" customFormat="1" spans="1:23">
      <c r="A183" s="4">
        <v>11021007</v>
      </c>
      <c r="B183" s="4" t="s">
        <v>310</v>
      </c>
      <c r="C183" s="4" t="str">
        <f t="shared" si="149"/>
        <v>item_11021007</v>
      </c>
      <c r="D183" s="4" t="str">
        <f t="shared" si="150"/>
        <v>item_desc_11021007</v>
      </c>
      <c r="E183" s="4" t="str">
        <f t="shared" si="151"/>
        <v>item_11021007</v>
      </c>
      <c r="F183" s="4" t="str">
        <f t="shared" si="154"/>
        <v>110210</v>
      </c>
      <c r="G183" s="6">
        <f t="shared" si="155"/>
        <v>7</v>
      </c>
      <c r="H183" s="6">
        <f t="shared" si="159"/>
        <v>2</v>
      </c>
      <c r="J183" s="4">
        <f t="shared" si="156"/>
        <v>11021008</v>
      </c>
      <c r="K183" s="4" t="str">
        <f t="shared" si="157"/>
        <v/>
      </c>
      <c r="L183" s="4" t="s">
        <v>50</v>
      </c>
      <c r="Q183" s="4" t="s">
        <v>57</v>
      </c>
      <c r="S183" s="4" t="str">
        <f t="shared" si="158"/>
        <v/>
      </c>
      <c r="T183" s="4" t="s">
        <v>50</v>
      </c>
      <c r="V183" s="4" t="s">
        <v>50</v>
      </c>
      <c r="W183" s="4">
        <v>2</v>
      </c>
    </row>
    <row r="184" s="4" customFormat="1" spans="1:23">
      <c r="A184" s="4">
        <v>11021008</v>
      </c>
      <c r="B184" s="4" t="s">
        <v>311</v>
      </c>
      <c r="C184" s="4" t="str">
        <f t="shared" si="149"/>
        <v>item_11021008</v>
      </c>
      <c r="D184" s="4" t="str">
        <f t="shared" si="150"/>
        <v>item_desc_11021008</v>
      </c>
      <c r="E184" s="4" t="str">
        <f t="shared" si="151"/>
        <v>item_11021008</v>
      </c>
      <c r="F184" s="4" t="str">
        <f t="shared" si="154"/>
        <v>110210</v>
      </c>
      <c r="G184" s="6">
        <f t="shared" si="155"/>
        <v>8</v>
      </c>
      <c r="H184" s="6">
        <f t="shared" si="159"/>
        <v>2</v>
      </c>
      <c r="J184" s="4">
        <f t="shared" si="156"/>
        <v>11021009</v>
      </c>
      <c r="K184" s="4" t="str">
        <f t="shared" si="157"/>
        <v/>
      </c>
      <c r="L184" s="4" t="s">
        <v>50</v>
      </c>
      <c r="Q184" s="4" t="s">
        <v>57</v>
      </c>
      <c r="S184" s="4" t="str">
        <f t="shared" si="158"/>
        <v/>
      </c>
      <c r="T184" s="4" t="s">
        <v>50</v>
      </c>
      <c r="V184" s="4" t="s">
        <v>50</v>
      </c>
      <c r="W184" s="4">
        <v>2</v>
      </c>
    </row>
    <row r="185" s="5" customFormat="1" spans="1:23">
      <c r="A185" s="5">
        <v>11021009</v>
      </c>
      <c r="B185" s="5" t="s">
        <v>312</v>
      </c>
      <c r="C185" s="5" t="str">
        <f t="shared" si="149"/>
        <v>item_11021009</v>
      </c>
      <c r="D185" s="5" t="str">
        <f t="shared" si="150"/>
        <v>item_desc_11021009</v>
      </c>
      <c r="E185" s="5" t="str">
        <f t="shared" si="151"/>
        <v>item_11021009</v>
      </c>
      <c r="F185" s="5" t="str">
        <f t="shared" si="154"/>
        <v>110210</v>
      </c>
      <c r="G185" s="5">
        <f t="shared" si="155"/>
        <v>9</v>
      </c>
      <c r="H185" s="5">
        <f t="shared" si="159"/>
        <v>2</v>
      </c>
      <c r="J185" s="5" t="str">
        <f t="shared" si="156"/>
        <v/>
      </c>
      <c r="K185" s="5" t="str">
        <f t="shared" si="157"/>
        <v/>
      </c>
      <c r="L185" s="5" t="s">
        <v>50</v>
      </c>
      <c r="Q185" s="5" t="s">
        <v>61</v>
      </c>
      <c r="S185" s="5" t="str">
        <f t="shared" si="158"/>
        <v/>
      </c>
      <c r="T185" s="5" t="s">
        <v>50</v>
      </c>
      <c r="V185" s="5" t="s">
        <v>50</v>
      </c>
      <c r="W185" s="5">
        <v>2</v>
      </c>
    </row>
    <row r="186" s="4" customFormat="1" spans="1:22">
      <c r="A186" s="4">
        <v>11011201</v>
      </c>
      <c r="B186" s="4" t="s">
        <v>313</v>
      </c>
      <c r="C186" s="4" t="str">
        <f t="shared" si="149"/>
        <v>item_11011201</v>
      </c>
      <c r="D186" s="4" t="str">
        <f t="shared" si="150"/>
        <v>item_desc_11011201</v>
      </c>
      <c r="E186" s="4" t="str">
        <f t="shared" si="151"/>
        <v>item_11011201</v>
      </c>
      <c r="F186" s="4" t="str">
        <f t="shared" si="154"/>
        <v>110112</v>
      </c>
      <c r="G186" s="6">
        <f t="shared" si="155"/>
        <v>1</v>
      </c>
      <c r="H186" s="6">
        <f t="shared" si="159"/>
        <v>1</v>
      </c>
      <c r="J186" s="4">
        <f t="shared" si="156"/>
        <v>11011202</v>
      </c>
      <c r="K186" s="4">
        <f t="shared" si="157"/>
        <v>5</v>
      </c>
      <c r="L186" s="4" t="s">
        <v>50</v>
      </c>
      <c r="M186" s="4" t="s">
        <v>63</v>
      </c>
      <c r="N186" s="4" t="s">
        <v>64</v>
      </c>
      <c r="Q186" s="4" t="s">
        <v>50</v>
      </c>
      <c r="S186" s="4" t="str">
        <f t="shared" si="158"/>
        <v/>
      </c>
      <c r="T186" s="4" t="s">
        <v>50</v>
      </c>
      <c r="U186" s="4" t="s">
        <v>65</v>
      </c>
      <c r="V186" s="4" t="s">
        <v>314</v>
      </c>
    </row>
    <row r="187" s="4" customFormat="1" spans="1:22">
      <c r="A187" s="4">
        <v>11011202</v>
      </c>
      <c r="B187" s="4" t="s">
        <v>315</v>
      </c>
      <c r="C187" s="4" t="str">
        <f t="shared" si="149"/>
        <v>item_11011202</v>
      </c>
      <c r="D187" s="4" t="str">
        <f t="shared" si="150"/>
        <v>item_desc_11011202</v>
      </c>
      <c r="E187" s="4" t="str">
        <f t="shared" si="151"/>
        <v>item_11011202</v>
      </c>
      <c r="F187" s="4" t="str">
        <f t="shared" si="154"/>
        <v>110112</v>
      </c>
      <c r="G187" s="6">
        <f t="shared" si="155"/>
        <v>2</v>
      </c>
      <c r="H187" s="6">
        <f t="shared" si="159"/>
        <v>1</v>
      </c>
      <c r="J187" s="4">
        <f t="shared" si="156"/>
        <v>11011203</v>
      </c>
      <c r="K187" s="4">
        <f t="shared" si="157"/>
        <v>5</v>
      </c>
      <c r="L187" s="4" t="s">
        <v>50</v>
      </c>
      <c r="M187" s="4" t="s">
        <v>166</v>
      </c>
      <c r="N187" s="4" t="s">
        <v>69</v>
      </c>
      <c r="Q187" s="4" t="s">
        <v>50</v>
      </c>
      <c r="S187" s="4" t="str">
        <f t="shared" si="158"/>
        <v/>
      </c>
      <c r="T187" s="4" t="s">
        <v>50</v>
      </c>
      <c r="U187" s="4" t="s">
        <v>65</v>
      </c>
      <c r="V187" s="4" t="s">
        <v>314</v>
      </c>
    </row>
    <row r="188" s="4" customFormat="1" spans="1:22">
      <c r="A188" s="4">
        <v>11011203</v>
      </c>
      <c r="B188" s="4" t="s">
        <v>316</v>
      </c>
      <c r="C188" s="4" t="str">
        <f t="shared" si="149"/>
        <v>item_11011203</v>
      </c>
      <c r="D188" s="4" t="str">
        <f t="shared" si="150"/>
        <v>item_desc_11011203</v>
      </c>
      <c r="E188" s="4" t="str">
        <f t="shared" si="151"/>
        <v>item_11011203</v>
      </c>
      <c r="F188" s="4" t="str">
        <f t="shared" si="154"/>
        <v>110112</v>
      </c>
      <c r="G188" s="6">
        <f t="shared" si="155"/>
        <v>3</v>
      </c>
      <c r="H188" s="6">
        <f t="shared" si="159"/>
        <v>1</v>
      </c>
      <c r="J188" s="4">
        <f t="shared" si="156"/>
        <v>11011204</v>
      </c>
      <c r="K188" s="4">
        <f t="shared" si="157"/>
        <v>5</v>
      </c>
      <c r="L188" s="4" t="s">
        <v>50</v>
      </c>
      <c r="M188" s="4" t="s">
        <v>202</v>
      </c>
      <c r="N188" s="4" t="s">
        <v>72</v>
      </c>
      <c r="Q188" s="4" t="s">
        <v>50</v>
      </c>
      <c r="S188" s="4" t="str">
        <f t="shared" si="158"/>
        <v/>
      </c>
      <c r="T188" s="4" t="s">
        <v>50</v>
      </c>
      <c r="U188" s="4" t="s">
        <v>65</v>
      </c>
      <c r="V188" s="4" t="s">
        <v>314</v>
      </c>
    </row>
    <row r="189" s="4" customFormat="1" spans="1:23">
      <c r="A189" s="4">
        <v>11011204</v>
      </c>
      <c r="B189" s="4" t="s">
        <v>317</v>
      </c>
      <c r="C189" s="4" t="str">
        <f t="shared" si="149"/>
        <v>item_11011204</v>
      </c>
      <c r="D189" s="4" t="str">
        <f t="shared" si="150"/>
        <v>item_desc_11011204</v>
      </c>
      <c r="E189" s="4" t="str">
        <f t="shared" si="151"/>
        <v>item_11011204</v>
      </c>
      <c r="F189" s="4" t="str">
        <f t="shared" si="154"/>
        <v>110112</v>
      </c>
      <c r="G189" s="6">
        <f t="shared" si="155"/>
        <v>4</v>
      </c>
      <c r="H189" s="6">
        <f t="shared" si="159"/>
        <v>1</v>
      </c>
      <c r="J189" s="4">
        <f t="shared" si="156"/>
        <v>11011205</v>
      </c>
      <c r="K189" s="4">
        <f t="shared" si="157"/>
        <v>6</v>
      </c>
      <c r="L189" s="4">
        <v>1</v>
      </c>
      <c r="M189" s="4" t="s">
        <v>229</v>
      </c>
      <c r="N189" s="4" t="s">
        <v>75</v>
      </c>
      <c r="S189" s="4" t="s">
        <v>230</v>
      </c>
      <c r="T189" s="4" t="s">
        <v>231</v>
      </c>
      <c r="U189" s="4" t="s">
        <v>65</v>
      </c>
      <c r="V189" s="4" t="s">
        <v>314</v>
      </c>
      <c r="W189" s="4">
        <v>1</v>
      </c>
    </row>
    <row r="190" s="4" customFormat="1" spans="1:23">
      <c r="A190" s="4">
        <v>11011205</v>
      </c>
      <c r="B190" s="4" t="s">
        <v>318</v>
      </c>
      <c r="C190" s="4" t="str">
        <f t="shared" si="149"/>
        <v>item_11011205</v>
      </c>
      <c r="D190" s="4" t="str">
        <f t="shared" si="150"/>
        <v>item_desc_11011205</v>
      </c>
      <c r="E190" s="4" t="str">
        <f t="shared" si="151"/>
        <v>item_11011205</v>
      </c>
      <c r="F190" s="4" t="str">
        <f t="shared" si="154"/>
        <v>110112</v>
      </c>
      <c r="G190" s="6">
        <f t="shared" si="155"/>
        <v>5</v>
      </c>
      <c r="H190" s="6">
        <f t="shared" si="159"/>
        <v>1</v>
      </c>
      <c r="J190" s="4">
        <f t="shared" si="156"/>
        <v>11011206</v>
      </c>
      <c r="K190" s="4">
        <f t="shared" si="157"/>
        <v>7</v>
      </c>
      <c r="L190" s="4">
        <v>1</v>
      </c>
      <c r="M190" s="4" t="s">
        <v>233</v>
      </c>
      <c r="N190" s="4" t="s">
        <v>79</v>
      </c>
      <c r="Q190" s="4" t="s">
        <v>80</v>
      </c>
      <c r="S190" s="4" t="s">
        <v>234</v>
      </c>
      <c r="T190" s="4" t="s">
        <v>235</v>
      </c>
      <c r="U190" s="4" t="s">
        <v>65</v>
      </c>
      <c r="V190" s="4" t="s">
        <v>314</v>
      </c>
      <c r="W190" s="4">
        <v>1</v>
      </c>
    </row>
    <row r="191" s="4" customFormat="1" spans="1:23">
      <c r="A191" s="4">
        <v>11011206</v>
      </c>
      <c r="B191" s="4" t="s">
        <v>319</v>
      </c>
      <c r="C191" s="4" t="str">
        <f t="shared" si="149"/>
        <v>item_11011206</v>
      </c>
      <c r="D191" s="4" t="str">
        <f t="shared" si="150"/>
        <v>item_desc_11011206</v>
      </c>
      <c r="E191" s="4" t="str">
        <f t="shared" si="151"/>
        <v>item_11011206</v>
      </c>
      <c r="F191" s="4" t="str">
        <f t="shared" si="154"/>
        <v>110112</v>
      </c>
      <c r="G191" s="6">
        <f t="shared" si="155"/>
        <v>6</v>
      </c>
      <c r="H191" s="6">
        <f t="shared" si="159"/>
        <v>1</v>
      </c>
      <c r="J191" s="4">
        <f t="shared" si="156"/>
        <v>11011207</v>
      </c>
      <c r="K191" s="4" t="str">
        <f t="shared" si="157"/>
        <v/>
      </c>
      <c r="L191" s="4">
        <v>1</v>
      </c>
      <c r="M191" s="4" t="s">
        <v>237</v>
      </c>
      <c r="N191" s="4" t="s">
        <v>84</v>
      </c>
      <c r="Q191" s="4" t="s">
        <v>85</v>
      </c>
      <c r="S191" s="4" t="s">
        <v>238</v>
      </c>
      <c r="T191" s="4" t="s">
        <v>239</v>
      </c>
      <c r="U191" s="4" t="s">
        <v>65</v>
      </c>
      <c r="V191" s="4" t="s">
        <v>314</v>
      </c>
      <c r="W191" s="4">
        <v>1</v>
      </c>
    </row>
    <row r="192" s="4" customFormat="1" spans="1:23">
      <c r="A192" s="4">
        <v>11011207</v>
      </c>
      <c r="B192" s="4" t="s">
        <v>320</v>
      </c>
      <c r="C192" s="4" t="str">
        <f t="shared" si="149"/>
        <v>item_11011207</v>
      </c>
      <c r="D192" s="4" t="str">
        <f t="shared" si="150"/>
        <v>item_desc_11011207</v>
      </c>
      <c r="E192" s="4" t="str">
        <f t="shared" si="151"/>
        <v>item_11011207</v>
      </c>
      <c r="F192" s="4" t="str">
        <f t="shared" si="154"/>
        <v>110112</v>
      </c>
      <c r="G192" s="6">
        <f t="shared" si="155"/>
        <v>7</v>
      </c>
      <c r="H192" s="6">
        <f t="shared" si="159"/>
        <v>1</v>
      </c>
      <c r="J192" s="4">
        <f t="shared" si="156"/>
        <v>11011208</v>
      </c>
      <c r="K192" s="4" t="str">
        <f t="shared" si="157"/>
        <v/>
      </c>
      <c r="L192" s="4" t="s">
        <v>50</v>
      </c>
      <c r="M192" s="4" t="s">
        <v>241</v>
      </c>
      <c r="N192" s="4" t="s">
        <v>89</v>
      </c>
      <c r="Q192" s="4" t="s">
        <v>90</v>
      </c>
      <c r="S192" s="4" t="s">
        <v>242</v>
      </c>
      <c r="T192" s="4" t="s">
        <v>243</v>
      </c>
      <c r="U192" s="4" t="s">
        <v>65</v>
      </c>
      <c r="V192" s="4" t="s">
        <v>314</v>
      </c>
      <c r="W192" s="4">
        <v>2</v>
      </c>
    </row>
    <row r="193" s="4" customFormat="1" spans="1:23">
      <c r="A193" s="4">
        <v>11011208</v>
      </c>
      <c r="B193" s="4" t="s">
        <v>321</v>
      </c>
      <c r="C193" s="4" t="str">
        <f t="shared" si="149"/>
        <v>item_11011208</v>
      </c>
      <c r="D193" s="4" t="str">
        <f t="shared" si="150"/>
        <v>item_desc_11011208</v>
      </c>
      <c r="E193" s="4" t="str">
        <f t="shared" si="151"/>
        <v>item_11011208</v>
      </c>
      <c r="F193" s="4" t="str">
        <f t="shared" si="154"/>
        <v>110112</v>
      </c>
      <c r="G193" s="6">
        <f t="shared" si="155"/>
        <v>8</v>
      </c>
      <c r="H193" s="6">
        <f t="shared" si="159"/>
        <v>1</v>
      </c>
      <c r="J193" s="4">
        <f t="shared" si="156"/>
        <v>11011209</v>
      </c>
      <c r="K193" s="4" t="str">
        <f t="shared" si="157"/>
        <v/>
      </c>
      <c r="L193" s="4" t="s">
        <v>50</v>
      </c>
      <c r="M193" s="4" t="s">
        <v>245</v>
      </c>
      <c r="N193" s="4" t="s">
        <v>94</v>
      </c>
      <c r="Q193" s="4" t="s">
        <v>95</v>
      </c>
      <c r="S193" s="4" t="s">
        <v>91</v>
      </c>
      <c r="T193" s="4" t="s">
        <v>245</v>
      </c>
      <c r="U193" s="4" t="s">
        <v>65</v>
      </c>
      <c r="V193" s="4" t="s">
        <v>314</v>
      </c>
      <c r="W193" s="4">
        <v>2</v>
      </c>
    </row>
    <row r="194" s="5" customFormat="1" spans="1:23">
      <c r="A194" s="5">
        <v>11011209</v>
      </c>
      <c r="B194" s="5" t="s">
        <v>322</v>
      </c>
      <c r="C194" s="5" t="str">
        <f t="shared" si="149"/>
        <v>item_11011209</v>
      </c>
      <c r="D194" s="5" t="str">
        <f t="shared" si="150"/>
        <v>item_desc_11011209</v>
      </c>
      <c r="E194" s="5" t="str">
        <f t="shared" si="151"/>
        <v>item_11011209</v>
      </c>
      <c r="F194" s="5" t="str">
        <f t="shared" si="154"/>
        <v>110112</v>
      </c>
      <c r="G194" s="5">
        <f t="shared" si="155"/>
        <v>9</v>
      </c>
      <c r="H194" s="5">
        <f t="shared" si="159"/>
        <v>1</v>
      </c>
      <c r="J194" s="5" t="str">
        <f t="shared" si="156"/>
        <v/>
      </c>
      <c r="K194" s="5" t="str">
        <f t="shared" si="157"/>
        <v/>
      </c>
      <c r="L194" s="5" t="s">
        <v>50</v>
      </c>
      <c r="M194" s="5" t="s">
        <v>247</v>
      </c>
      <c r="N194" s="5" t="s">
        <v>99</v>
      </c>
      <c r="Q194" s="5" t="s">
        <v>100</v>
      </c>
      <c r="S194" s="5" t="s">
        <v>91</v>
      </c>
      <c r="T194" s="5" t="s">
        <v>247</v>
      </c>
      <c r="U194" s="5" t="s">
        <v>65</v>
      </c>
      <c r="V194" s="5" t="s">
        <v>314</v>
      </c>
      <c r="W194" s="5">
        <v>2</v>
      </c>
    </row>
    <row r="195" s="4" customFormat="1" spans="1:10">
      <c r="A195" s="4">
        <v>11030501</v>
      </c>
      <c r="B195" s="4" t="s">
        <v>323</v>
      </c>
      <c r="C195" s="4" t="s">
        <v>324</v>
      </c>
      <c r="D195" s="21" t="s">
        <v>325</v>
      </c>
      <c r="E195" s="21" t="s">
        <v>324</v>
      </c>
      <c r="F195" s="4" t="str">
        <f t="shared" si="154"/>
        <v>110305</v>
      </c>
      <c r="G195" s="4">
        <v>1</v>
      </c>
      <c r="H195" s="4">
        <v>3</v>
      </c>
      <c r="J195" s="4">
        <v>11030502</v>
      </c>
    </row>
    <row r="196" s="5" customFormat="1" spans="1:23">
      <c r="A196" s="5">
        <v>11030502</v>
      </c>
      <c r="B196" s="5" t="s">
        <v>326</v>
      </c>
      <c r="C196" s="5" t="s">
        <v>327</v>
      </c>
      <c r="D196" s="22" t="s">
        <v>328</v>
      </c>
      <c r="E196" s="22" t="s">
        <v>327</v>
      </c>
      <c r="F196" s="5" t="str">
        <f t="shared" si="154"/>
        <v>110305</v>
      </c>
      <c r="G196" s="5">
        <v>2</v>
      </c>
      <c r="H196" s="5">
        <v>3</v>
      </c>
      <c r="W196" s="5">
        <v>2</v>
      </c>
    </row>
    <row r="197" s="4" customFormat="1" spans="1:10">
      <c r="A197" s="4">
        <v>11030601</v>
      </c>
      <c r="B197" s="4" t="s">
        <v>329</v>
      </c>
      <c r="C197" s="4" t="s">
        <v>330</v>
      </c>
      <c r="D197" s="21" t="s">
        <v>325</v>
      </c>
      <c r="E197" s="4" t="str">
        <f t="shared" ref="E197:E199" si="160">"item_"&amp;A197</f>
        <v>item_11030601</v>
      </c>
      <c r="F197" s="4" t="str">
        <f t="shared" si="154"/>
        <v>110306</v>
      </c>
      <c r="G197" s="4">
        <v>1</v>
      </c>
      <c r="H197" s="4">
        <v>3</v>
      </c>
      <c r="J197" s="4">
        <v>11030602</v>
      </c>
    </row>
    <row r="198" s="6" customFormat="1" spans="1:23">
      <c r="A198" s="6">
        <v>11030602</v>
      </c>
      <c r="B198" s="6" t="s">
        <v>331</v>
      </c>
      <c r="C198" s="6" t="s">
        <v>332</v>
      </c>
      <c r="D198" s="23" t="s">
        <v>325</v>
      </c>
      <c r="E198" s="6" t="str">
        <f t="shared" si="160"/>
        <v>item_11030602</v>
      </c>
      <c r="F198" s="6" t="str">
        <f t="shared" si="154"/>
        <v>110306</v>
      </c>
      <c r="G198" s="6">
        <v>2</v>
      </c>
      <c r="H198" s="6">
        <v>3</v>
      </c>
      <c r="J198" s="6">
        <v>11030603</v>
      </c>
      <c r="W198" s="6">
        <v>2</v>
      </c>
    </row>
    <row r="199" s="5" customFormat="1" spans="1:23">
      <c r="A199" s="5">
        <v>11030603</v>
      </c>
      <c r="B199" s="5" t="s">
        <v>333</v>
      </c>
      <c r="C199" s="5" t="s">
        <v>334</v>
      </c>
      <c r="D199" s="22" t="s">
        <v>328</v>
      </c>
      <c r="E199" s="5" t="str">
        <f t="shared" si="160"/>
        <v>item_11030603</v>
      </c>
      <c r="F199" s="5" t="str">
        <f t="shared" si="154"/>
        <v>110306</v>
      </c>
      <c r="G199" s="5">
        <v>3</v>
      </c>
      <c r="H199" s="5">
        <v>3</v>
      </c>
      <c r="W199" s="5">
        <v>2</v>
      </c>
    </row>
    <row r="200" s="4" customFormat="1" spans="1:14">
      <c r="A200" s="4">
        <v>11040201</v>
      </c>
      <c r="B200" s="4" t="s">
        <v>335</v>
      </c>
      <c r="C200" s="4" t="s">
        <v>336</v>
      </c>
      <c r="D200" s="21" t="s">
        <v>337</v>
      </c>
      <c r="E200" s="21" t="s">
        <v>336</v>
      </c>
      <c r="F200" s="4">
        <v>11040101</v>
      </c>
      <c r="G200" s="4">
        <v>2</v>
      </c>
      <c r="H200" s="4">
        <v>4</v>
      </c>
      <c r="N200" s="4" t="s">
        <v>69</v>
      </c>
    </row>
    <row r="201" s="4" customFormat="1" spans="1:14">
      <c r="A201" s="4">
        <v>11040202</v>
      </c>
      <c r="B201" s="4" t="s">
        <v>338</v>
      </c>
      <c r="C201" s="4" t="s">
        <v>339</v>
      </c>
      <c r="D201" s="21" t="s">
        <v>340</v>
      </c>
      <c r="E201" s="21" t="s">
        <v>339</v>
      </c>
      <c r="F201" s="4">
        <v>11040102</v>
      </c>
      <c r="G201" s="4">
        <v>4</v>
      </c>
      <c r="H201" s="4">
        <v>4</v>
      </c>
      <c r="N201" s="4" t="s">
        <v>75</v>
      </c>
    </row>
    <row r="202" s="4" customFormat="1" spans="1:14">
      <c r="A202" s="4">
        <v>11040203</v>
      </c>
      <c r="B202" s="4" t="s">
        <v>341</v>
      </c>
      <c r="C202" s="4" t="s">
        <v>342</v>
      </c>
      <c r="D202" s="21" t="s">
        <v>343</v>
      </c>
      <c r="E202" s="21" t="s">
        <v>342</v>
      </c>
      <c r="F202" s="4">
        <v>11040103</v>
      </c>
      <c r="G202" s="4">
        <v>6</v>
      </c>
      <c r="H202" s="4">
        <v>4</v>
      </c>
      <c r="N202" s="4" t="s">
        <v>84</v>
      </c>
    </row>
    <row r="203" s="4" customFormat="1" spans="1:14">
      <c r="A203" s="4">
        <v>11040204</v>
      </c>
      <c r="B203" s="4" t="s">
        <v>344</v>
      </c>
      <c r="C203" s="4" t="s">
        <v>345</v>
      </c>
      <c r="D203" s="21" t="s">
        <v>346</v>
      </c>
      <c r="E203" s="21" t="s">
        <v>345</v>
      </c>
      <c r="F203" s="4">
        <v>11040104</v>
      </c>
      <c r="G203" s="4">
        <v>8</v>
      </c>
      <c r="H203" s="4">
        <v>4</v>
      </c>
      <c r="N203" s="4" t="s">
        <v>94</v>
      </c>
    </row>
    <row r="204" s="7" customFormat="1" spans="1:11">
      <c r="A204" s="24">
        <v>1040101</v>
      </c>
      <c r="B204" s="7" t="s">
        <v>347</v>
      </c>
      <c r="C204" s="7" t="str">
        <f>"item_"&amp;A204</f>
        <v>item_1040101</v>
      </c>
      <c r="D204" s="7" t="str">
        <f t="shared" ref="D204:D267" si="161">"item_desc_"&amp;A204</f>
        <v>item_desc_1040101</v>
      </c>
      <c r="E204" s="7" t="str">
        <f t="shared" ref="E204:E267" si="162">"item_"&amp;A204</f>
        <v>item_1040101</v>
      </c>
      <c r="F204" s="7">
        <v>10401</v>
      </c>
      <c r="G204" s="7">
        <f>IF(F204&lt;&gt;F203,1,G203+1)</f>
        <v>1</v>
      </c>
      <c r="H204" s="7">
        <v>1</v>
      </c>
      <c r="J204" s="7">
        <f>IF(A205-A204=1,A205,"")</f>
        <v>1040102</v>
      </c>
      <c r="K204" s="7">
        <v>6</v>
      </c>
    </row>
    <row r="205" s="8" customFormat="1" spans="1:11">
      <c r="A205" s="25">
        <v>1040102</v>
      </c>
      <c r="B205" s="8" t="s">
        <v>348</v>
      </c>
      <c r="C205" s="8" t="str">
        <f t="shared" ref="C205:C268" si="163">"item_"&amp;A205</f>
        <v>item_1040102</v>
      </c>
      <c r="D205" s="8" t="str">
        <f t="shared" si="161"/>
        <v>item_desc_1040102</v>
      </c>
      <c r="E205" s="8" t="str">
        <f t="shared" si="162"/>
        <v>item_1040102</v>
      </c>
      <c r="F205" s="8">
        <v>10401</v>
      </c>
      <c r="G205" s="8">
        <f t="shared" ref="G205:G268" si="164">IF(F205&lt;&gt;F204,1,G204+1)</f>
        <v>2</v>
      </c>
      <c r="H205" s="8">
        <v>1</v>
      </c>
      <c r="J205" s="8">
        <f>IF(A206-A205=1,A206,"")</f>
        <v>1040103</v>
      </c>
      <c r="K205" s="8">
        <v>6</v>
      </c>
    </row>
    <row r="206" s="8" customFormat="1" spans="1:23">
      <c r="A206" s="25">
        <v>1040103</v>
      </c>
      <c r="B206" s="8" t="s">
        <v>349</v>
      </c>
      <c r="C206" s="8" t="str">
        <f t="shared" si="163"/>
        <v>item_1040103</v>
      </c>
      <c r="D206" s="8" t="str">
        <f t="shared" si="161"/>
        <v>item_desc_1040103</v>
      </c>
      <c r="E206" s="8" t="str">
        <f t="shared" si="162"/>
        <v>item_1040103</v>
      </c>
      <c r="F206" s="8">
        <v>10401</v>
      </c>
      <c r="G206" s="8">
        <f t="shared" si="164"/>
        <v>3</v>
      </c>
      <c r="H206" s="8">
        <v>1</v>
      </c>
      <c r="J206" s="8">
        <f t="shared" ref="J206:J269" si="165">IF(A207-A206=1,A207,"")</f>
        <v>1040104</v>
      </c>
      <c r="W206" s="8">
        <v>1</v>
      </c>
    </row>
    <row r="207" s="8" customFormat="1" spans="1:23">
      <c r="A207" s="25">
        <v>1040104</v>
      </c>
      <c r="B207" s="8" t="s">
        <v>350</v>
      </c>
      <c r="C207" s="8" t="str">
        <f t="shared" si="163"/>
        <v>item_1040104</v>
      </c>
      <c r="D207" s="8" t="str">
        <f t="shared" si="161"/>
        <v>item_desc_1040104</v>
      </c>
      <c r="E207" s="8" t="str">
        <f t="shared" si="162"/>
        <v>item_1040104</v>
      </c>
      <c r="F207" s="8">
        <v>10401</v>
      </c>
      <c r="G207" s="8">
        <f t="shared" si="164"/>
        <v>4</v>
      </c>
      <c r="H207" s="8">
        <v>2</v>
      </c>
      <c r="J207" s="8">
        <f t="shared" si="165"/>
        <v>1040105</v>
      </c>
      <c r="W207" s="8">
        <v>1</v>
      </c>
    </row>
    <row r="208" s="8" customFormat="1" spans="1:23">
      <c r="A208" s="25">
        <v>1040105</v>
      </c>
      <c r="B208" s="8" t="s">
        <v>351</v>
      </c>
      <c r="C208" s="8" t="str">
        <f t="shared" si="163"/>
        <v>item_1040105</v>
      </c>
      <c r="D208" s="8" t="str">
        <f t="shared" si="161"/>
        <v>item_desc_1040105</v>
      </c>
      <c r="E208" s="8" t="str">
        <f t="shared" si="162"/>
        <v>item_1040105</v>
      </c>
      <c r="F208" s="8">
        <v>10401</v>
      </c>
      <c r="G208" s="8">
        <f t="shared" si="164"/>
        <v>5</v>
      </c>
      <c r="H208" s="8">
        <v>2</v>
      </c>
      <c r="J208" s="8">
        <f t="shared" si="165"/>
        <v>1040106</v>
      </c>
      <c r="W208" s="8">
        <v>1</v>
      </c>
    </row>
    <row r="209" s="8" customFormat="1" spans="1:23">
      <c r="A209" s="25">
        <v>1040106</v>
      </c>
      <c r="B209" s="8" t="s">
        <v>352</v>
      </c>
      <c r="C209" s="8" t="str">
        <f t="shared" si="163"/>
        <v>item_1040106</v>
      </c>
      <c r="D209" s="8" t="str">
        <f t="shared" si="161"/>
        <v>item_desc_1040106</v>
      </c>
      <c r="E209" s="8" t="str">
        <f t="shared" si="162"/>
        <v>item_1040106</v>
      </c>
      <c r="F209" s="8">
        <v>10401</v>
      </c>
      <c r="G209" s="8">
        <f t="shared" si="164"/>
        <v>6</v>
      </c>
      <c r="H209" s="8">
        <v>2</v>
      </c>
      <c r="J209" s="8">
        <f t="shared" si="165"/>
        <v>1040107</v>
      </c>
      <c r="W209" s="8">
        <v>2</v>
      </c>
    </row>
    <row r="210" s="8" customFormat="1" spans="1:23">
      <c r="A210" s="25">
        <v>1040107</v>
      </c>
      <c r="B210" s="8" t="s">
        <v>353</v>
      </c>
      <c r="C210" s="8" t="str">
        <f t="shared" si="163"/>
        <v>item_1040107</v>
      </c>
      <c r="D210" s="8" t="str">
        <f t="shared" si="161"/>
        <v>item_desc_1040107</v>
      </c>
      <c r="E210" s="8" t="str">
        <f t="shared" si="162"/>
        <v>item_1040107</v>
      </c>
      <c r="F210" s="8">
        <v>10401</v>
      </c>
      <c r="G210" s="8">
        <f t="shared" si="164"/>
        <v>7</v>
      </c>
      <c r="H210" s="8">
        <v>2</v>
      </c>
      <c r="J210" s="8">
        <f t="shared" si="165"/>
        <v>1040108</v>
      </c>
      <c r="K210" s="8" t="str">
        <f>IF(AND(H207=1,G207&lt;=5),MAX(5,G207+2),"")</f>
        <v/>
      </c>
      <c r="W210" s="8">
        <v>2</v>
      </c>
    </row>
    <row r="211" s="8" customFormat="1" spans="1:23">
      <c r="A211" s="25">
        <v>1040108</v>
      </c>
      <c r="B211" s="8" t="s">
        <v>354</v>
      </c>
      <c r="C211" s="8" t="str">
        <f t="shared" si="163"/>
        <v>item_1040108</v>
      </c>
      <c r="D211" s="8" t="str">
        <f t="shared" si="161"/>
        <v>item_desc_1040108</v>
      </c>
      <c r="E211" s="8" t="str">
        <f t="shared" si="162"/>
        <v>item_1040108</v>
      </c>
      <c r="F211" s="8">
        <v>10401</v>
      </c>
      <c r="G211" s="8">
        <f t="shared" si="164"/>
        <v>8</v>
      </c>
      <c r="H211" s="8">
        <v>2</v>
      </c>
      <c r="J211" s="8">
        <f t="shared" si="165"/>
        <v>1040109</v>
      </c>
      <c r="K211" s="8" t="str">
        <f>IF(AND(H208=1,G208&lt;=5),MAX(5,G208+2),"")</f>
        <v/>
      </c>
      <c r="W211" s="8">
        <v>2</v>
      </c>
    </row>
    <row r="212" s="8" customFormat="1" spans="1:23">
      <c r="A212" s="25">
        <v>1040109</v>
      </c>
      <c r="B212" s="8" t="s">
        <v>355</v>
      </c>
      <c r="C212" s="8" t="str">
        <f t="shared" si="163"/>
        <v>item_1040109</v>
      </c>
      <c r="D212" s="8" t="str">
        <f t="shared" si="161"/>
        <v>item_desc_1040109</v>
      </c>
      <c r="E212" s="8" t="str">
        <f t="shared" si="162"/>
        <v>item_1040109</v>
      </c>
      <c r="F212" s="8">
        <v>10401</v>
      </c>
      <c r="G212" s="8">
        <f t="shared" si="164"/>
        <v>9</v>
      </c>
      <c r="H212" s="8">
        <v>2</v>
      </c>
      <c r="K212" s="8" t="str">
        <f>IF(AND(H209=1,G209&lt;=5),MAX(5,G209+2),"")</f>
        <v/>
      </c>
      <c r="W212" s="8">
        <v>2</v>
      </c>
    </row>
    <row r="213" s="9" customFormat="1" spans="1:23">
      <c r="A213" s="26">
        <v>1040110</v>
      </c>
      <c r="B213" s="9" t="s">
        <v>356</v>
      </c>
      <c r="C213" s="9" t="str">
        <f t="shared" si="163"/>
        <v>item_1040110</v>
      </c>
      <c r="D213" s="9" t="str">
        <f t="shared" si="161"/>
        <v>item_desc_1040110</v>
      </c>
      <c r="E213" s="9" t="str">
        <f t="shared" si="162"/>
        <v>item_1040110</v>
      </c>
      <c r="H213" s="9">
        <v>2</v>
      </c>
      <c r="J213" s="9" t="str">
        <f t="shared" si="165"/>
        <v/>
      </c>
      <c r="K213" s="9" t="str">
        <f>IF(AND(H210=1,G210&lt;=5),MAX(5,G210+2),"")</f>
        <v/>
      </c>
      <c r="W213" s="9">
        <v>2</v>
      </c>
    </row>
    <row r="214" s="8" customFormat="1" spans="1:22">
      <c r="A214" s="25">
        <v>1030101</v>
      </c>
      <c r="B214" s="8" t="s">
        <v>357</v>
      </c>
      <c r="C214" s="8" t="str">
        <f t="shared" si="163"/>
        <v>item_1030101</v>
      </c>
      <c r="D214" s="8" t="str">
        <f t="shared" si="161"/>
        <v>item_desc_1030101</v>
      </c>
      <c r="E214" s="8" t="str">
        <f t="shared" si="162"/>
        <v>item_1030101</v>
      </c>
      <c r="F214" s="8">
        <v>10301</v>
      </c>
      <c r="G214" s="8">
        <f t="shared" si="164"/>
        <v>1</v>
      </c>
      <c r="H214" s="8">
        <v>1</v>
      </c>
      <c r="J214" s="8">
        <f t="shared" si="165"/>
        <v>1030102</v>
      </c>
      <c r="K214" s="8">
        <v>5</v>
      </c>
      <c r="U214" s="8" t="s">
        <v>65</v>
      </c>
      <c r="V214" s="8" t="s">
        <v>358</v>
      </c>
    </row>
    <row r="215" s="8" customFormat="1" spans="1:22">
      <c r="A215" s="25">
        <v>1030102</v>
      </c>
      <c r="B215" s="8" t="s">
        <v>359</v>
      </c>
      <c r="C215" s="8" t="str">
        <f t="shared" si="163"/>
        <v>item_1030102</v>
      </c>
      <c r="D215" s="8" t="str">
        <f t="shared" si="161"/>
        <v>item_desc_1030102</v>
      </c>
      <c r="E215" s="8" t="str">
        <f t="shared" si="162"/>
        <v>item_1030102</v>
      </c>
      <c r="F215" s="8">
        <v>10301</v>
      </c>
      <c r="G215" s="8">
        <f t="shared" si="164"/>
        <v>2</v>
      </c>
      <c r="H215" s="8">
        <v>1</v>
      </c>
      <c r="J215" s="8">
        <f t="shared" si="165"/>
        <v>1030103</v>
      </c>
      <c r="K215" s="8">
        <v>5</v>
      </c>
      <c r="U215" s="8" t="s">
        <v>65</v>
      </c>
      <c r="V215" s="8" t="s">
        <v>358</v>
      </c>
    </row>
    <row r="216" s="8" customFormat="1" spans="1:23">
      <c r="A216" s="25">
        <v>1030103</v>
      </c>
      <c r="B216" s="8" t="s">
        <v>360</v>
      </c>
      <c r="C216" s="8" t="str">
        <f t="shared" si="163"/>
        <v>item_1030103</v>
      </c>
      <c r="D216" s="8" t="str">
        <f t="shared" si="161"/>
        <v>item_desc_1030103</v>
      </c>
      <c r="E216" s="8" t="str">
        <f t="shared" si="162"/>
        <v>item_1030103</v>
      </c>
      <c r="F216" s="8">
        <v>10301</v>
      </c>
      <c r="G216" s="8">
        <f t="shared" si="164"/>
        <v>3</v>
      </c>
      <c r="H216" s="8">
        <v>1</v>
      </c>
      <c r="J216" s="8">
        <f t="shared" si="165"/>
        <v>1030104</v>
      </c>
      <c r="K216" s="8">
        <v>5</v>
      </c>
      <c r="P216" s="8">
        <v>3</v>
      </c>
      <c r="S216" s="8" t="s">
        <v>361</v>
      </c>
      <c r="T216" s="8" t="s">
        <v>162</v>
      </c>
      <c r="U216" s="8" t="s">
        <v>65</v>
      </c>
      <c r="V216" s="8" t="s">
        <v>358</v>
      </c>
      <c r="W216" s="8">
        <v>1</v>
      </c>
    </row>
    <row r="217" s="8" customFormat="1" spans="1:23">
      <c r="A217" s="25">
        <v>1030104</v>
      </c>
      <c r="B217" s="8" t="s">
        <v>362</v>
      </c>
      <c r="C217" s="8" t="str">
        <f t="shared" si="163"/>
        <v>item_1030104</v>
      </c>
      <c r="D217" s="8" t="str">
        <f t="shared" si="161"/>
        <v>item_desc_1030104</v>
      </c>
      <c r="E217" s="8" t="str">
        <f t="shared" si="162"/>
        <v>item_1030104</v>
      </c>
      <c r="F217" s="8">
        <v>10301</v>
      </c>
      <c r="G217" s="8">
        <f t="shared" si="164"/>
        <v>4</v>
      </c>
      <c r="H217" s="8">
        <v>1</v>
      </c>
      <c r="J217" s="8">
        <f t="shared" si="165"/>
        <v>1030105</v>
      </c>
      <c r="L217" s="4">
        <v>1</v>
      </c>
      <c r="M217" s="8" t="s">
        <v>63</v>
      </c>
      <c r="P217" s="8">
        <v>6</v>
      </c>
      <c r="S217" s="8" t="s">
        <v>361</v>
      </c>
      <c r="T217" s="8" t="s">
        <v>63</v>
      </c>
      <c r="U217" s="8" t="s">
        <v>65</v>
      </c>
      <c r="V217" s="8" t="s">
        <v>358</v>
      </c>
      <c r="W217" s="8">
        <v>1</v>
      </c>
    </row>
    <row r="218" s="8" customFormat="1" spans="1:23">
      <c r="A218" s="25">
        <v>1030105</v>
      </c>
      <c r="B218" s="8" t="s">
        <v>363</v>
      </c>
      <c r="C218" s="8" t="str">
        <f t="shared" si="163"/>
        <v>item_1030105</v>
      </c>
      <c r="D218" s="8" t="str">
        <f t="shared" si="161"/>
        <v>item_desc_1030105</v>
      </c>
      <c r="E218" s="8" t="str">
        <f t="shared" si="162"/>
        <v>item_1030105</v>
      </c>
      <c r="F218" s="8">
        <v>10301</v>
      </c>
      <c r="G218" s="8">
        <f t="shared" si="164"/>
        <v>5</v>
      </c>
      <c r="H218" s="8">
        <v>1</v>
      </c>
      <c r="J218" s="8">
        <f t="shared" si="165"/>
        <v>1030106</v>
      </c>
      <c r="L218" s="4">
        <v>1</v>
      </c>
      <c r="M218" s="8" t="s">
        <v>166</v>
      </c>
      <c r="P218" s="8">
        <v>12</v>
      </c>
      <c r="S218" s="8" t="s">
        <v>361</v>
      </c>
      <c r="T218" s="8" t="s">
        <v>166</v>
      </c>
      <c r="U218" s="8" t="s">
        <v>65</v>
      </c>
      <c r="V218" s="8" t="s">
        <v>358</v>
      </c>
      <c r="W218" s="8">
        <v>1</v>
      </c>
    </row>
    <row r="219" s="8" customFormat="1" spans="1:23">
      <c r="A219" s="25">
        <v>1030106</v>
      </c>
      <c r="B219" s="8" t="s">
        <v>364</v>
      </c>
      <c r="C219" s="8" t="str">
        <f t="shared" si="163"/>
        <v>item_1030106</v>
      </c>
      <c r="D219" s="8" t="str">
        <f t="shared" si="161"/>
        <v>item_desc_1030106</v>
      </c>
      <c r="E219" s="8" t="str">
        <f t="shared" si="162"/>
        <v>item_1030106</v>
      </c>
      <c r="F219" s="8">
        <v>10301</v>
      </c>
      <c r="G219" s="8">
        <f t="shared" si="164"/>
        <v>6</v>
      </c>
      <c r="H219" s="8">
        <v>1</v>
      </c>
      <c r="J219" s="8">
        <f t="shared" si="165"/>
        <v>1030107</v>
      </c>
      <c r="L219" s="4">
        <v>1</v>
      </c>
      <c r="M219" s="8" t="s">
        <v>202</v>
      </c>
      <c r="P219" s="8">
        <v>18</v>
      </c>
      <c r="S219" s="8" t="s">
        <v>230</v>
      </c>
      <c r="T219" s="8" t="s">
        <v>202</v>
      </c>
      <c r="U219" s="8" t="s">
        <v>65</v>
      </c>
      <c r="V219" s="8" t="s">
        <v>358</v>
      </c>
      <c r="W219" s="8">
        <v>2</v>
      </c>
    </row>
    <row r="220" s="8" customFormat="1" spans="1:23">
      <c r="A220" s="25">
        <v>1030107</v>
      </c>
      <c r="B220" s="8" t="s">
        <v>365</v>
      </c>
      <c r="C220" s="8" t="str">
        <f t="shared" si="163"/>
        <v>item_1030107</v>
      </c>
      <c r="D220" s="8" t="str">
        <f t="shared" si="161"/>
        <v>item_desc_1030107</v>
      </c>
      <c r="E220" s="8" t="str">
        <f t="shared" si="162"/>
        <v>item_1030107</v>
      </c>
      <c r="F220" s="8">
        <v>10301</v>
      </c>
      <c r="G220" s="8">
        <f t="shared" si="164"/>
        <v>7</v>
      </c>
      <c r="H220" s="8">
        <v>1</v>
      </c>
      <c r="J220" s="8">
        <f t="shared" si="165"/>
        <v>1030108</v>
      </c>
      <c r="L220" s="4">
        <v>1</v>
      </c>
      <c r="M220" s="8" t="s">
        <v>229</v>
      </c>
      <c r="P220" s="8">
        <v>30</v>
      </c>
      <c r="S220" s="8" t="s">
        <v>230</v>
      </c>
      <c r="T220" s="8" t="s">
        <v>229</v>
      </c>
      <c r="U220" s="8" t="s">
        <v>65</v>
      </c>
      <c r="V220" s="8" t="s">
        <v>358</v>
      </c>
      <c r="W220" s="8">
        <v>2</v>
      </c>
    </row>
    <row r="221" s="8" customFormat="1" spans="1:23">
      <c r="A221" s="25">
        <v>1030108</v>
      </c>
      <c r="B221" s="8" t="s">
        <v>366</v>
      </c>
      <c r="C221" s="8" t="str">
        <f t="shared" si="163"/>
        <v>item_1030108</v>
      </c>
      <c r="D221" s="8" t="str">
        <f t="shared" si="161"/>
        <v>item_desc_1030108</v>
      </c>
      <c r="E221" s="8" t="str">
        <f t="shared" si="162"/>
        <v>item_1030108</v>
      </c>
      <c r="F221" s="8">
        <v>10301</v>
      </c>
      <c r="G221" s="8">
        <f t="shared" si="164"/>
        <v>8</v>
      </c>
      <c r="H221" s="8">
        <v>1</v>
      </c>
      <c r="J221" s="8">
        <f t="shared" si="165"/>
        <v>1030109</v>
      </c>
      <c r="L221" s="4">
        <v>1</v>
      </c>
      <c r="M221" s="8" t="s">
        <v>233</v>
      </c>
      <c r="P221" s="8">
        <v>48</v>
      </c>
      <c r="Q221" s="8" t="s">
        <v>367</v>
      </c>
      <c r="S221" s="8" t="s">
        <v>230</v>
      </c>
      <c r="T221" s="8" t="s">
        <v>233</v>
      </c>
      <c r="U221" s="8" t="s">
        <v>65</v>
      </c>
      <c r="V221" s="8" t="s">
        <v>358</v>
      </c>
      <c r="W221" s="8">
        <v>2</v>
      </c>
    </row>
    <row r="222" s="8" customFormat="1" spans="1:23">
      <c r="A222" s="25">
        <v>1030109</v>
      </c>
      <c r="B222" s="8" t="s">
        <v>368</v>
      </c>
      <c r="C222" s="8" t="str">
        <f t="shared" si="163"/>
        <v>item_1030109</v>
      </c>
      <c r="D222" s="8" t="str">
        <f t="shared" si="161"/>
        <v>item_desc_1030109</v>
      </c>
      <c r="E222" s="8" t="str">
        <f t="shared" si="162"/>
        <v>item_1030109</v>
      </c>
      <c r="F222" s="8">
        <v>10301</v>
      </c>
      <c r="G222" s="8">
        <f t="shared" si="164"/>
        <v>9</v>
      </c>
      <c r="H222" s="8">
        <v>1</v>
      </c>
      <c r="J222" s="8">
        <f t="shared" si="165"/>
        <v>1030110</v>
      </c>
      <c r="K222" s="8" t="str">
        <f t="shared" ref="K222:K228" si="166">IF(AND(H219=1,G219&lt;=5),MAX(5,G219+2),"")</f>
        <v/>
      </c>
      <c r="P222" s="8">
        <v>75</v>
      </c>
      <c r="Q222" s="8" t="s">
        <v>367</v>
      </c>
      <c r="S222" s="8" t="s">
        <v>230</v>
      </c>
      <c r="T222" s="8" t="s">
        <v>369</v>
      </c>
      <c r="U222" s="8" t="s">
        <v>65</v>
      </c>
      <c r="V222" s="8" t="s">
        <v>358</v>
      </c>
      <c r="W222" s="8">
        <v>2</v>
      </c>
    </row>
    <row r="223" s="8" customFormat="1" spans="1:23">
      <c r="A223" s="25">
        <v>1030110</v>
      </c>
      <c r="B223" s="8" t="s">
        <v>370</v>
      </c>
      <c r="C223" s="8" t="str">
        <f t="shared" si="163"/>
        <v>item_1030110</v>
      </c>
      <c r="D223" s="8" t="str">
        <f t="shared" si="161"/>
        <v>item_desc_1030110</v>
      </c>
      <c r="E223" s="8" t="str">
        <f t="shared" si="162"/>
        <v>item_1030110</v>
      </c>
      <c r="F223" s="8">
        <v>10301</v>
      </c>
      <c r="G223" s="8">
        <f t="shared" si="164"/>
        <v>10</v>
      </c>
      <c r="H223" s="8">
        <v>1</v>
      </c>
      <c r="J223" s="8">
        <f t="shared" si="165"/>
        <v>1030111</v>
      </c>
      <c r="K223" s="8" t="str">
        <f t="shared" si="166"/>
        <v/>
      </c>
      <c r="P223" s="8">
        <v>117</v>
      </c>
      <c r="Q223" s="8" t="s">
        <v>367</v>
      </c>
      <c r="S223" s="8" t="s">
        <v>230</v>
      </c>
      <c r="T223" s="8" t="s">
        <v>371</v>
      </c>
      <c r="U223" s="8" t="s">
        <v>65</v>
      </c>
      <c r="V223" s="8" t="s">
        <v>358</v>
      </c>
      <c r="W223" s="8">
        <v>2</v>
      </c>
    </row>
    <row r="224" s="8" customFormat="1" spans="1:23">
      <c r="A224" s="25">
        <v>1030111</v>
      </c>
      <c r="B224" s="8" t="s">
        <v>372</v>
      </c>
      <c r="C224" s="8" t="str">
        <f t="shared" si="163"/>
        <v>item_1030111</v>
      </c>
      <c r="D224" s="8" t="str">
        <f t="shared" si="161"/>
        <v>item_desc_1030111</v>
      </c>
      <c r="E224" s="8" t="str">
        <f t="shared" si="162"/>
        <v>item_1030111</v>
      </c>
      <c r="F224" s="8">
        <v>10301</v>
      </c>
      <c r="G224" s="8">
        <f t="shared" si="164"/>
        <v>11</v>
      </c>
      <c r="H224" s="8">
        <v>1</v>
      </c>
      <c r="J224" s="8">
        <f t="shared" si="165"/>
        <v>1030112</v>
      </c>
      <c r="K224" s="8" t="str">
        <f t="shared" si="166"/>
        <v/>
      </c>
      <c r="P224" s="8">
        <v>177</v>
      </c>
      <c r="Q224" s="8" t="s">
        <v>367</v>
      </c>
      <c r="S224" s="8" t="s">
        <v>230</v>
      </c>
      <c r="T224" s="8" t="s">
        <v>373</v>
      </c>
      <c r="U224" s="8" t="s">
        <v>65</v>
      </c>
      <c r="V224" s="8" t="s">
        <v>358</v>
      </c>
      <c r="W224" s="8">
        <v>2</v>
      </c>
    </row>
    <row r="225" s="8" customFormat="1" spans="1:23">
      <c r="A225" s="25">
        <v>1030112</v>
      </c>
      <c r="B225" s="8" t="s">
        <v>374</v>
      </c>
      <c r="C225" s="8" t="str">
        <f t="shared" si="163"/>
        <v>item_1030112</v>
      </c>
      <c r="D225" s="8" t="str">
        <f t="shared" si="161"/>
        <v>item_desc_1030112</v>
      </c>
      <c r="E225" s="8" t="str">
        <f t="shared" si="162"/>
        <v>item_1030112</v>
      </c>
      <c r="F225" s="8">
        <v>10301</v>
      </c>
      <c r="G225" s="8">
        <f t="shared" si="164"/>
        <v>12</v>
      </c>
      <c r="H225" s="8">
        <v>1</v>
      </c>
      <c r="K225" s="8" t="str">
        <f t="shared" si="166"/>
        <v/>
      </c>
      <c r="P225" s="8">
        <v>267</v>
      </c>
      <c r="Q225" s="8" t="s">
        <v>367</v>
      </c>
      <c r="S225" s="8" t="s">
        <v>230</v>
      </c>
      <c r="T225" s="8" t="s">
        <v>375</v>
      </c>
      <c r="U225" s="8" t="s">
        <v>65</v>
      </c>
      <c r="V225" s="8" t="s">
        <v>358</v>
      </c>
      <c r="W225" s="8">
        <v>2</v>
      </c>
    </row>
    <row r="226" s="9" customFormat="1" spans="1:23">
      <c r="A226" s="26">
        <v>1030113</v>
      </c>
      <c r="B226" s="9" t="s">
        <v>376</v>
      </c>
      <c r="C226" s="9" t="str">
        <f t="shared" si="163"/>
        <v>item_1030113</v>
      </c>
      <c r="D226" s="9" t="str">
        <f t="shared" si="161"/>
        <v>item_desc_1030113</v>
      </c>
      <c r="E226" s="9" t="str">
        <f t="shared" si="162"/>
        <v>item_1030113</v>
      </c>
      <c r="H226" s="9">
        <v>1</v>
      </c>
      <c r="K226" s="9" t="str">
        <f t="shared" si="166"/>
        <v/>
      </c>
      <c r="P226" s="9">
        <v>405</v>
      </c>
      <c r="Q226" s="9" t="s">
        <v>367</v>
      </c>
      <c r="S226" s="9" t="s">
        <v>76</v>
      </c>
      <c r="T226" s="9" t="s">
        <v>377</v>
      </c>
      <c r="U226" s="9" t="s">
        <v>65</v>
      </c>
      <c r="V226" s="9" t="s">
        <v>358</v>
      </c>
      <c r="W226" s="9">
        <v>2</v>
      </c>
    </row>
    <row r="227" s="9" customFormat="1" spans="1:23">
      <c r="A227" s="26">
        <v>1030114</v>
      </c>
      <c r="B227" s="9" t="s">
        <v>378</v>
      </c>
      <c r="C227" s="9" t="str">
        <f t="shared" si="163"/>
        <v>item_1030114</v>
      </c>
      <c r="D227" s="9" t="str">
        <f t="shared" si="161"/>
        <v>item_desc_1030114</v>
      </c>
      <c r="E227" s="9" t="str">
        <f t="shared" si="162"/>
        <v>item_1030114</v>
      </c>
      <c r="H227" s="9">
        <v>1</v>
      </c>
      <c r="K227" s="9" t="str">
        <f t="shared" si="166"/>
        <v/>
      </c>
      <c r="P227" s="9">
        <v>612</v>
      </c>
      <c r="Q227" s="9" t="s">
        <v>367</v>
      </c>
      <c r="S227" s="9" t="s">
        <v>76</v>
      </c>
      <c r="T227" s="9" t="s">
        <v>379</v>
      </c>
      <c r="U227" s="9" t="s">
        <v>65</v>
      </c>
      <c r="V227" s="9" t="s">
        <v>358</v>
      </c>
      <c r="W227" s="9">
        <v>2</v>
      </c>
    </row>
    <row r="228" s="9" customFormat="1" spans="1:23">
      <c r="A228" s="26">
        <v>1030115</v>
      </c>
      <c r="B228" s="9" t="s">
        <v>380</v>
      </c>
      <c r="C228" s="9" t="str">
        <f t="shared" si="163"/>
        <v>item_1030115</v>
      </c>
      <c r="D228" s="9" t="str">
        <f t="shared" si="161"/>
        <v>item_desc_1030115</v>
      </c>
      <c r="E228" s="9" t="str">
        <f t="shared" si="162"/>
        <v>item_1030115</v>
      </c>
      <c r="H228" s="9">
        <v>1</v>
      </c>
      <c r="J228" s="9" t="str">
        <f t="shared" si="165"/>
        <v/>
      </c>
      <c r="K228" s="9" t="str">
        <f t="shared" si="166"/>
        <v/>
      </c>
      <c r="P228" s="9">
        <v>930</v>
      </c>
      <c r="S228" s="9" t="s">
        <v>76</v>
      </c>
      <c r="T228" s="9" t="s">
        <v>381</v>
      </c>
      <c r="U228" s="9" t="s">
        <v>65</v>
      </c>
      <c r="V228" s="9" t="s">
        <v>358</v>
      </c>
      <c r="W228" s="9">
        <v>2</v>
      </c>
    </row>
    <row r="229" s="8" customFormat="1" spans="1:22">
      <c r="A229" s="25">
        <v>1030201</v>
      </c>
      <c r="B229" s="8" t="s">
        <v>382</v>
      </c>
      <c r="C229" s="8" t="str">
        <f t="shared" si="163"/>
        <v>item_1030201</v>
      </c>
      <c r="D229" s="8" t="str">
        <f t="shared" si="161"/>
        <v>item_desc_1030201</v>
      </c>
      <c r="E229" s="8" t="str">
        <f t="shared" si="162"/>
        <v>item_1030201</v>
      </c>
      <c r="F229" s="8">
        <v>10302</v>
      </c>
      <c r="G229" s="8">
        <f t="shared" si="164"/>
        <v>1</v>
      </c>
      <c r="H229" s="8">
        <v>1</v>
      </c>
      <c r="J229" s="8">
        <f t="shared" si="165"/>
        <v>1030202</v>
      </c>
      <c r="K229" s="8">
        <v>4</v>
      </c>
      <c r="U229" s="8" t="s">
        <v>65</v>
      </c>
      <c r="V229" s="8" t="s">
        <v>358</v>
      </c>
    </row>
    <row r="230" s="8" customFormat="1" spans="1:22">
      <c r="A230" s="25">
        <v>1030202</v>
      </c>
      <c r="B230" s="8" t="s">
        <v>383</v>
      </c>
      <c r="C230" s="8" t="str">
        <f t="shared" si="163"/>
        <v>item_1030202</v>
      </c>
      <c r="D230" s="8" t="str">
        <f t="shared" si="161"/>
        <v>item_desc_1030202</v>
      </c>
      <c r="E230" s="8" t="str">
        <f t="shared" si="162"/>
        <v>item_1030202</v>
      </c>
      <c r="F230" s="8">
        <v>10302</v>
      </c>
      <c r="G230" s="8">
        <f t="shared" si="164"/>
        <v>2</v>
      </c>
      <c r="H230" s="8">
        <v>1</v>
      </c>
      <c r="J230" s="8">
        <f t="shared" si="165"/>
        <v>1030203</v>
      </c>
      <c r="K230" s="8">
        <v>5</v>
      </c>
      <c r="U230" s="8" t="s">
        <v>65</v>
      </c>
      <c r="V230" s="8" t="s">
        <v>358</v>
      </c>
    </row>
    <row r="231" s="8" customFormat="1" spans="1:23">
      <c r="A231" s="25">
        <v>1030203</v>
      </c>
      <c r="B231" s="8" t="s">
        <v>384</v>
      </c>
      <c r="C231" s="8" t="str">
        <f t="shared" si="163"/>
        <v>item_1030203</v>
      </c>
      <c r="D231" s="8" t="str">
        <f t="shared" si="161"/>
        <v>item_desc_1030203</v>
      </c>
      <c r="E231" s="8" t="str">
        <f t="shared" si="162"/>
        <v>item_1030203</v>
      </c>
      <c r="F231" s="8">
        <v>10302</v>
      </c>
      <c r="G231" s="8">
        <f t="shared" si="164"/>
        <v>3</v>
      </c>
      <c r="H231" s="8">
        <v>1</v>
      </c>
      <c r="J231" s="8">
        <f t="shared" si="165"/>
        <v>1030204</v>
      </c>
      <c r="K231" s="8">
        <v>5</v>
      </c>
      <c r="L231" s="4">
        <v>1</v>
      </c>
      <c r="M231" s="28" t="s">
        <v>166</v>
      </c>
      <c r="P231" s="8">
        <v>12</v>
      </c>
      <c r="S231" s="8" t="s">
        <v>385</v>
      </c>
      <c r="T231" s="28" t="s">
        <v>166</v>
      </c>
      <c r="U231" s="8" t="s">
        <v>65</v>
      </c>
      <c r="V231" s="8" t="s">
        <v>358</v>
      </c>
      <c r="W231" s="8">
        <v>1</v>
      </c>
    </row>
    <row r="232" s="8" customFormat="1" spans="1:23">
      <c r="A232" s="25">
        <v>1030204</v>
      </c>
      <c r="B232" s="8" t="s">
        <v>386</v>
      </c>
      <c r="C232" s="8" t="str">
        <f t="shared" si="163"/>
        <v>item_1030204</v>
      </c>
      <c r="D232" s="8" t="str">
        <f t="shared" si="161"/>
        <v>item_desc_1030204</v>
      </c>
      <c r="E232" s="8" t="str">
        <f t="shared" si="162"/>
        <v>item_1030204</v>
      </c>
      <c r="F232" s="8">
        <v>10302</v>
      </c>
      <c r="G232" s="8">
        <f t="shared" si="164"/>
        <v>4</v>
      </c>
      <c r="H232" s="8">
        <v>1</v>
      </c>
      <c r="J232" s="8">
        <f t="shared" si="165"/>
        <v>1030205</v>
      </c>
      <c r="K232" s="8">
        <v>5</v>
      </c>
      <c r="L232" s="4">
        <v>1</v>
      </c>
      <c r="M232" s="28" t="s">
        <v>202</v>
      </c>
      <c r="P232" s="8">
        <v>21</v>
      </c>
      <c r="S232" s="8" t="s">
        <v>230</v>
      </c>
      <c r="T232" s="28" t="s">
        <v>202</v>
      </c>
      <c r="U232" s="8" t="s">
        <v>65</v>
      </c>
      <c r="V232" s="8" t="s">
        <v>358</v>
      </c>
      <c r="W232" s="8">
        <v>2</v>
      </c>
    </row>
    <row r="233" s="10" customFormat="1" spans="1:23">
      <c r="A233" s="27">
        <v>1030205</v>
      </c>
      <c r="B233" s="10" t="s">
        <v>387</v>
      </c>
      <c r="C233" s="10" t="str">
        <f t="shared" si="163"/>
        <v>item_1030205</v>
      </c>
      <c r="D233" s="10" t="str">
        <f t="shared" si="161"/>
        <v>item_desc_1030205</v>
      </c>
      <c r="E233" s="10" t="str">
        <f t="shared" si="162"/>
        <v>item_1030205</v>
      </c>
      <c r="F233" s="10">
        <v>10302</v>
      </c>
      <c r="G233" s="10">
        <f t="shared" si="164"/>
        <v>5</v>
      </c>
      <c r="H233" s="10">
        <v>1</v>
      </c>
      <c r="J233" s="10" t="str">
        <f t="shared" si="165"/>
        <v/>
      </c>
      <c r="K233" s="10">
        <v>5</v>
      </c>
      <c r="L233" s="4">
        <v>1</v>
      </c>
      <c r="M233" s="29" t="s">
        <v>388</v>
      </c>
      <c r="P233" s="10">
        <v>36</v>
      </c>
      <c r="S233" s="10" t="s">
        <v>230</v>
      </c>
      <c r="T233" s="29" t="s">
        <v>388</v>
      </c>
      <c r="U233" s="10" t="s">
        <v>65</v>
      </c>
      <c r="V233" s="10" t="s">
        <v>358</v>
      </c>
      <c r="W233" s="10">
        <v>2</v>
      </c>
    </row>
    <row r="234" s="7" customFormat="1" spans="1:11">
      <c r="A234" s="24">
        <v>1040201</v>
      </c>
      <c r="B234" s="7" t="s">
        <v>389</v>
      </c>
      <c r="C234" s="7" t="str">
        <f t="shared" si="163"/>
        <v>item_1040201</v>
      </c>
      <c r="D234" s="7" t="str">
        <f t="shared" si="161"/>
        <v>item_desc_1040201</v>
      </c>
      <c r="E234" s="7" t="str">
        <f t="shared" si="162"/>
        <v>item_1040201</v>
      </c>
      <c r="F234" s="7">
        <v>10402</v>
      </c>
      <c r="G234" s="7">
        <f t="shared" si="164"/>
        <v>1</v>
      </c>
      <c r="H234" s="7">
        <v>1</v>
      </c>
      <c r="J234" s="7">
        <f t="shared" si="165"/>
        <v>1040202</v>
      </c>
      <c r="K234" s="7">
        <v>6</v>
      </c>
    </row>
    <row r="235" s="8" customFormat="1" spans="1:11">
      <c r="A235" s="25">
        <v>1040202</v>
      </c>
      <c r="B235" s="8" t="s">
        <v>390</v>
      </c>
      <c r="C235" s="8" t="str">
        <f t="shared" si="163"/>
        <v>item_1040202</v>
      </c>
      <c r="D235" s="8" t="str">
        <f t="shared" si="161"/>
        <v>item_desc_1040202</v>
      </c>
      <c r="E235" s="8" t="str">
        <f t="shared" si="162"/>
        <v>item_1040202</v>
      </c>
      <c r="F235" s="8">
        <v>10402</v>
      </c>
      <c r="G235" s="8">
        <f t="shared" si="164"/>
        <v>2</v>
      </c>
      <c r="H235" s="8">
        <v>1</v>
      </c>
      <c r="J235" s="8">
        <f t="shared" si="165"/>
        <v>1040203</v>
      </c>
      <c r="K235" s="8">
        <v>6</v>
      </c>
    </row>
    <row r="236" s="8" customFormat="1" spans="1:23">
      <c r="A236" s="25">
        <v>1040203</v>
      </c>
      <c r="B236" s="8" t="s">
        <v>391</v>
      </c>
      <c r="C236" s="8" t="str">
        <f t="shared" si="163"/>
        <v>item_1040203</v>
      </c>
      <c r="D236" s="8" t="str">
        <f t="shared" si="161"/>
        <v>item_desc_1040203</v>
      </c>
      <c r="E236" s="8" t="str">
        <f t="shared" si="162"/>
        <v>item_1040203</v>
      </c>
      <c r="F236" s="8">
        <v>10402</v>
      </c>
      <c r="G236" s="8">
        <f t="shared" si="164"/>
        <v>3</v>
      </c>
      <c r="H236" s="8">
        <v>1</v>
      </c>
      <c r="J236" s="8">
        <f t="shared" si="165"/>
        <v>1040204</v>
      </c>
      <c r="W236" s="8">
        <v>1</v>
      </c>
    </row>
    <row r="237" s="8" customFormat="1" spans="1:23">
      <c r="A237" s="25">
        <v>1040204</v>
      </c>
      <c r="B237" s="8" t="s">
        <v>392</v>
      </c>
      <c r="C237" s="8" t="str">
        <f t="shared" si="163"/>
        <v>item_1040204</v>
      </c>
      <c r="D237" s="8" t="str">
        <f t="shared" si="161"/>
        <v>item_desc_1040204</v>
      </c>
      <c r="E237" s="8" t="str">
        <f t="shared" si="162"/>
        <v>item_1040204</v>
      </c>
      <c r="F237" s="8">
        <v>10402</v>
      </c>
      <c r="G237" s="8">
        <f t="shared" si="164"/>
        <v>4</v>
      </c>
      <c r="H237" s="8">
        <v>2</v>
      </c>
      <c r="J237" s="8">
        <f t="shared" si="165"/>
        <v>1040205</v>
      </c>
      <c r="W237" s="8">
        <v>1</v>
      </c>
    </row>
    <row r="238" s="8" customFormat="1" spans="1:23">
      <c r="A238" s="25">
        <v>1040205</v>
      </c>
      <c r="B238" s="8" t="s">
        <v>393</v>
      </c>
      <c r="C238" s="8" t="str">
        <f t="shared" si="163"/>
        <v>item_1040205</v>
      </c>
      <c r="D238" s="8" t="str">
        <f t="shared" si="161"/>
        <v>item_desc_1040205</v>
      </c>
      <c r="E238" s="8" t="str">
        <f t="shared" si="162"/>
        <v>item_1040205</v>
      </c>
      <c r="F238" s="8">
        <v>10402</v>
      </c>
      <c r="G238" s="8">
        <f t="shared" si="164"/>
        <v>5</v>
      </c>
      <c r="H238" s="8">
        <v>2</v>
      </c>
      <c r="J238" s="8">
        <f t="shared" si="165"/>
        <v>1040206</v>
      </c>
      <c r="W238" s="8">
        <v>1</v>
      </c>
    </row>
    <row r="239" s="8" customFormat="1" spans="1:23">
      <c r="A239" s="25">
        <v>1040206</v>
      </c>
      <c r="B239" s="8" t="s">
        <v>394</v>
      </c>
      <c r="C239" s="8" t="str">
        <f t="shared" si="163"/>
        <v>item_1040206</v>
      </c>
      <c r="D239" s="8" t="str">
        <f t="shared" si="161"/>
        <v>item_desc_1040206</v>
      </c>
      <c r="E239" s="8" t="str">
        <f t="shared" si="162"/>
        <v>item_1040206</v>
      </c>
      <c r="F239" s="8">
        <v>10402</v>
      </c>
      <c r="G239" s="8">
        <f t="shared" si="164"/>
        <v>6</v>
      </c>
      <c r="H239" s="8">
        <v>2</v>
      </c>
      <c r="J239" s="8">
        <f t="shared" si="165"/>
        <v>1040207</v>
      </c>
      <c r="W239" s="8">
        <v>2</v>
      </c>
    </row>
    <row r="240" s="8" customFormat="1" spans="1:23">
      <c r="A240" s="25">
        <v>1040207</v>
      </c>
      <c r="B240" s="8" t="s">
        <v>395</v>
      </c>
      <c r="C240" s="8" t="str">
        <f t="shared" si="163"/>
        <v>item_1040207</v>
      </c>
      <c r="D240" s="8" t="str">
        <f t="shared" si="161"/>
        <v>item_desc_1040207</v>
      </c>
      <c r="E240" s="8" t="str">
        <f t="shared" si="162"/>
        <v>item_1040207</v>
      </c>
      <c r="F240" s="8">
        <v>10402</v>
      </c>
      <c r="G240" s="8">
        <f t="shared" si="164"/>
        <v>7</v>
      </c>
      <c r="H240" s="8">
        <v>2</v>
      </c>
      <c r="J240" s="8">
        <f t="shared" si="165"/>
        <v>1040208</v>
      </c>
      <c r="W240" s="8">
        <v>2</v>
      </c>
    </row>
    <row r="241" s="8" customFormat="1" spans="1:23">
      <c r="A241" s="25">
        <v>1040208</v>
      </c>
      <c r="B241" s="8" t="s">
        <v>396</v>
      </c>
      <c r="C241" s="8" t="str">
        <f t="shared" si="163"/>
        <v>item_1040208</v>
      </c>
      <c r="D241" s="8" t="str">
        <f t="shared" si="161"/>
        <v>item_desc_1040208</v>
      </c>
      <c r="E241" s="8" t="str">
        <f t="shared" si="162"/>
        <v>item_1040208</v>
      </c>
      <c r="F241" s="8">
        <v>10402</v>
      </c>
      <c r="G241" s="8">
        <f t="shared" si="164"/>
        <v>8</v>
      </c>
      <c r="H241" s="8">
        <v>2</v>
      </c>
      <c r="J241" s="8">
        <f t="shared" si="165"/>
        <v>1040209</v>
      </c>
      <c r="Q241" s="8" t="s">
        <v>367</v>
      </c>
      <c r="W241" s="8">
        <v>2</v>
      </c>
    </row>
    <row r="242" s="8" customFormat="1" spans="1:23">
      <c r="A242" s="25">
        <v>1040209</v>
      </c>
      <c r="B242" s="8" t="s">
        <v>397</v>
      </c>
      <c r="C242" s="8" t="str">
        <f t="shared" si="163"/>
        <v>item_1040209</v>
      </c>
      <c r="D242" s="8" t="str">
        <f t="shared" si="161"/>
        <v>item_desc_1040209</v>
      </c>
      <c r="E242" s="8" t="str">
        <f t="shared" si="162"/>
        <v>item_1040209</v>
      </c>
      <c r="F242" s="8">
        <v>10402</v>
      </c>
      <c r="G242" s="8">
        <f t="shared" si="164"/>
        <v>9</v>
      </c>
      <c r="H242" s="8">
        <v>2</v>
      </c>
      <c r="J242" s="8" t="str">
        <f t="shared" si="165"/>
        <v/>
      </c>
      <c r="Q242" s="8" t="s">
        <v>367</v>
      </c>
      <c r="W242" s="8">
        <v>2</v>
      </c>
    </row>
    <row r="243" s="8" customFormat="1" spans="1:22">
      <c r="A243" s="25">
        <v>1030301</v>
      </c>
      <c r="B243" s="8" t="s">
        <v>398</v>
      </c>
      <c r="C243" s="8" t="str">
        <f t="shared" si="163"/>
        <v>item_1030301</v>
      </c>
      <c r="D243" s="8" t="str">
        <f t="shared" si="161"/>
        <v>item_desc_1030301</v>
      </c>
      <c r="E243" s="8" t="str">
        <f t="shared" si="162"/>
        <v>item_1030301</v>
      </c>
      <c r="F243" s="8">
        <v>10303</v>
      </c>
      <c r="G243" s="8">
        <f t="shared" si="164"/>
        <v>1</v>
      </c>
      <c r="H243" s="8">
        <v>1</v>
      </c>
      <c r="J243" s="8">
        <f t="shared" si="165"/>
        <v>1030302</v>
      </c>
      <c r="K243" s="8">
        <v>5</v>
      </c>
      <c r="U243" s="8" t="s">
        <v>65</v>
      </c>
      <c r="V243" s="8" t="s">
        <v>399</v>
      </c>
    </row>
    <row r="244" s="8" customFormat="1" spans="1:22">
      <c r="A244" s="25">
        <v>1030302</v>
      </c>
      <c r="B244" s="8" t="s">
        <v>400</v>
      </c>
      <c r="C244" s="8" t="str">
        <f t="shared" si="163"/>
        <v>item_1030302</v>
      </c>
      <c r="D244" s="8" t="str">
        <f t="shared" si="161"/>
        <v>item_desc_1030302</v>
      </c>
      <c r="E244" s="8" t="str">
        <f t="shared" si="162"/>
        <v>item_1030302</v>
      </c>
      <c r="F244" s="8">
        <v>10303</v>
      </c>
      <c r="G244" s="8">
        <f t="shared" si="164"/>
        <v>2</v>
      </c>
      <c r="H244" s="8">
        <v>1</v>
      </c>
      <c r="J244" s="8">
        <f t="shared" si="165"/>
        <v>1030303</v>
      </c>
      <c r="K244" s="8">
        <v>5</v>
      </c>
      <c r="U244" s="8" t="s">
        <v>65</v>
      </c>
      <c r="V244" s="8" t="s">
        <v>399</v>
      </c>
    </row>
    <row r="245" s="8" customFormat="1" spans="1:23">
      <c r="A245" s="25">
        <v>1030303</v>
      </c>
      <c r="B245" s="8" t="s">
        <v>401</v>
      </c>
      <c r="C245" s="8" t="str">
        <f t="shared" si="163"/>
        <v>item_1030303</v>
      </c>
      <c r="D245" s="8" t="str">
        <f t="shared" si="161"/>
        <v>item_desc_1030303</v>
      </c>
      <c r="E245" s="8" t="str">
        <f t="shared" si="162"/>
        <v>item_1030303</v>
      </c>
      <c r="F245" s="8">
        <v>10303</v>
      </c>
      <c r="G245" s="8">
        <f t="shared" si="164"/>
        <v>3</v>
      </c>
      <c r="H245" s="8">
        <v>1</v>
      </c>
      <c r="J245" s="8">
        <f t="shared" si="165"/>
        <v>1030304</v>
      </c>
      <c r="K245" s="8">
        <v>5</v>
      </c>
      <c r="P245" s="8">
        <v>3</v>
      </c>
      <c r="S245" s="8" t="s">
        <v>361</v>
      </c>
      <c r="T245" s="8" t="s">
        <v>162</v>
      </c>
      <c r="U245" s="8" t="s">
        <v>65</v>
      </c>
      <c r="V245" s="8" t="s">
        <v>399</v>
      </c>
      <c r="W245" s="8">
        <v>1</v>
      </c>
    </row>
    <row r="246" s="8" customFormat="1" spans="1:23">
      <c r="A246" s="25">
        <v>1030304</v>
      </c>
      <c r="B246" s="8" t="s">
        <v>402</v>
      </c>
      <c r="C246" s="8" t="str">
        <f t="shared" si="163"/>
        <v>item_1030304</v>
      </c>
      <c r="D246" s="8" t="str">
        <f t="shared" si="161"/>
        <v>item_desc_1030304</v>
      </c>
      <c r="E246" s="8" t="str">
        <f t="shared" si="162"/>
        <v>item_1030304</v>
      </c>
      <c r="F246" s="8">
        <v>10303</v>
      </c>
      <c r="G246" s="8">
        <f t="shared" si="164"/>
        <v>4</v>
      </c>
      <c r="H246" s="8">
        <v>1</v>
      </c>
      <c r="J246" s="8">
        <f t="shared" si="165"/>
        <v>1030305</v>
      </c>
      <c r="K246" s="8">
        <v>5</v>
      </c>
      <c r="P246" s="8">
        <v>6</v>
      </c>
      <c r="S246" s="8" t="s">
        <v>361</v>
      </c>
      <c r="T246" s="8" t="s">
        <v>63</v>
      </c>
      <c r="U246" s="8" t="s">
        <v>65</v>
      </c>
      <c r="V246" s="8" t="s">
        <v>399</v>
      </c>
      <c r="W246" s="8">
        <v>1</v>
      </c>
    </row>
    <row r="247" s="8" customFormat="1" spans="1:23">
      <c r="A247" s="25">
        <v>1030305</v>
      </c>
      <c r="B247" s="8" t="s">
        <v>403</v>
      </c>
      <c r="C247" s="8" t="str">
        <f t="shared" si="163"/>
        <v>item_1030305</v>
      </c>
      <c r="D247" s="8" t="str">
        <f t="shared" si="161"/>
        <v>item_desc_1030305</v>
      </c>
      <c r="E247" s="8" t="str">
        <f t="shared" si="162"/>
        <v>item_1030305</v>
      </c>
      <c r="F247" s="8">
        <v>10303</v>
      </c>
      <c r="G247" s="8">
        <f t="shared" si="164"/>
        <v>5</v>
      </c>
      <c r="H247" s="8">
        <v>1</v>
      </c>
      <c r="J247" s="8">
        <f t="shared" si="165"/>
        <v>1030306</v>
      </c>
      <c r="P247" s="8">
        <v>12</v>
      </c>
      <c r="S247" s="8" t="s">
        <v>385</v>
      </c>
      <c r="T247" s="8" t="s">
        <v>166</v>
      </c>
      <c r="U247" s="8" t="s">
        <v>65</v>
      </c>
      <c r="V247" s="8" t="s">
        <v>399</v>
      </c>
      <c r="W247" s="8">
        <v>1</v>
      </c>
    </row>
    <row r="248" s="8" customFormat="1" spans="1:23">
      <c r="A248" s="25">
        <v>1030306</v>
      </c>
      <c r="B248" s="8" t="s">
        <v>404</v>
      </c>
      <c r="C248" s="8" t="str">
        <f t="shared" si="163"/>
        <v>item_1030306</v>
      </c>
      <c r="D248" s="8" t="str">
        <f t="shared" si="161"/>
        <v>item_desc_1030306</v>
      </c>
      <c r="E248" s="8" t="str">
        <f t="shared" si="162"/>
        <v>item_1030306</v>
      </c>
      <c r="F248" s="8">
        <v>10303</v>
      </c>
      <c r="G248" s="8">
        <f t="shared" si="164"/>
        <v>6</v>
      </c>
      <c r="H248" s="8">
        <v>1</v>
      </c>
      <c r="J248" s="8">
        <f t="shared" si="165"/>
        <v>1030307</v>
      </c>
      <c r="L248" s="4">
        <v>1</v>
      </c>
      <c r="M248" s="8" t="s">
        <v>202</v>
      </c>
      <c r="P248" s="8">
        <v>21</v>
      </c>
      <c r="S248" s="8" t="s">
        <v>230</v>
      </c>
      <c r="T248" s="8" t="s">
        <v>202</v>
      </c>
      <c r="U248" s="8" t="s">
        <v>65</v>
      </c>
      <c r="V248" s="8" t="s">
        <v>399</v>
      </c>
      <c r="W248" s="8">
        <v>2</v>
      </c>
    </row>
    <row r="249" s="8" customFormat="1" spans="1:23">
      <c r="A249" s="25">
        <v>1030307</v>
      </c>
      <c r="B249" s="8" t="s">
        <v>405</v>
      </c>
      <c r="C249" s="8" t="str">
        <f t="shared" si="163"/>
        <v>item_1030307</v>
      </c>
      <c r="D249" s="8" t="str">
        <f t="shared" si="161"/>
        <v>item_desc_1030307</v>
      </c>
      <c r="E249" s="8" t="str">
        <f t="shared" si="162"/>
        <v>item_1030307</v>
      </c>
      <c r="F249" s="8">
        <v>10303</v>
      </c>
      <c r="G249" s="8">
        <f t="shared" si="164"/>
        <v>7</v>
      </c>
      <c r="H249" s="8">
        <v>1</v>
      </c>
      <c r="J249" s="8">
        <f t="shared" si="165"/>
        <v>1030308</v>
      </c>
      <c r="L249" s="4">
        <v>1</v>
      </c>
      <c r="M249" s="8" t="s">
        <v>229</v>
      </c>
      <c r="P249" s="8">
        <v>36</v>
      </c>
      <c r="S249" s="8" t="s">
        <v>230</v>
      </c>
      <c r="T249" s="8" t="s">
        <v>229</v>
      </c>
      <c r="U249" s="8" t="s">
        <v>65</v>
      </c>
      <c r="V249" s="8" t="s">
        <v>399</v>
      </c>
      <c r="W249" s="8">
        <v>2</v>
      </c>
    </row>
    <row r="250" s="8" customFormat="1" spans="1:23">
      <c r="A250" s="25">
        <v>1030308</v>
      </c>
      <c r="B250" s="8" t="s">
        <v>406</v>
      </c>
      <c r="C250" s="8" t="str">
        <f t="shared" si="163"/>
        <v>item_1030308</v>
      </c>
      <c r="D250" s="8" t="str">
        <f t="shared" si="161"/>
        <v>item_desc_1030308</v>
      </c>
      <c r="E250" s="8" t="str">
        <f t="shared" si="162"/>
        <v>item_1030308</v>
      </c>
      <c r="F250" s="8">
        <v>10303</v>
      </c>
      <c r="G250" s="8">
        <f t="shared" si="164"/>
        <v>8</v>
      </c>
      <c r="H250" s="8">
        <v>1</v>
      </c>
      <c r="J250" s="8">
        <f t="shared" si="165"/>
        <v>1030309</v>
      </c>
      <c r="L250" s="4">
        <v>1</v>
      </c>
      <c r="M250" s="8" t="s">
        <v>233</v>
      </c>
      <c r="P250" s="8">
        <v>54</v>
      </c>
      <c r="Q250" s="8" t="s">
        <v>367</v>
      </c>
      <c r="S250" s="8" t="s">
        <v>230</v>
      </c>
      <c r="T250" s="8" t="s">
        <v>233</v>
      </c>
      <c r="U250" s="8" t="s">
        <v>65</v>
      </c>
      <c r="V250" s="8" t="s">
        <v>399</v>
      </c>
      <c r="W250" s="8">
        <v>2</v>
      </c>
    </row>
    <row r="251" s="8" customFormat="1" spans="1:23">
      <c r="A251" s="25">
        <v>1030309</v>
      </c>
      <c r="B251" s="8" t="s">
        <v>407</v>
      </c>
      <c r="C251" s="8" t="str">
        <f t="shared" si="163"/>
        <v>item_1030309</v>
      </c>
      <c r="D251" s="8" t="str">
        <f t="shared" si="161"/>
        <v>item_desc_1030309</v>
      </c>
      <c r="E251" s="8" t="str">
        <f t="shared" si="162"/>
        <v>item_1030309</v>
      </c>
      <c r="F251" s="8">
        <v>10303</v>
      </c>
      <c r="G251" s="8">
        <f t="shared" si="164"/>
        <v>9</v>
      </c>
      <c r="H251" s="8">
        <v>1</v>
      </c>
      <c r="J251" s="8">
        <f t="shared" si="165"/>
        <v>1030310</v>
      </c>
      <c r="L251" s="4">
        <v>1</v>
      </c>
      <c r="M251" s="8" t="s">
        <v>369</v>
      </c>
      <c r="P251" s="8">
        <v>84</v>
      </c>
      <c r="Q251" s="8" t="s">
        <v>367</v>
      </c>
      <c r="S251" s="8" t="s">
        <v>230</v>
      </c>
      <c r="T251" s="8" t="s">
        <v>369</v>
      </c>
      <c r="U251" s="8" t="s">
        <v>65</v>
      </c>
      <c r="V251" s="8" t="s">
        <v>399</v>
      </c>
      <c r="W251" s="8">
        <v>2</v>
      </c>
    </row>
    <row r="252" s="8" customFormat="1" spans="1:23">
      <c r="A252" s="25">
        <v>1030310</v>
      </c>
      <c r="B252" s="8" t="s">
        <v>408</v>
      </c>
      <c r="C252" s="8" t="str">
        <f t="shared" si="163"/>
        <v>item_1030310</v>
      </c>
      <c r="D252" s="8" t="str">
        <f t="shared" si="161"/>
        <v>item_desc_1030310</v>
      </c>
      <c r="E252" s="8" t="str">
        <f t="shared" si="162"/>
        <v>item_1030310</v>
      </c>
      <c r="F252" s="8">
        <v>10303</v>
      </c>
      <c r="G252" s="8">
        <f t="shared" si="164"/>
        <v>10</v>
      </c>
      <c r="H252" s="8">
        <v>1</v>
      </c>
      <c r="J252" s="8">
        <f t="shared" si="165"/>
        <v>1030311</v>
      </c>
      <c r="P252" s="8">
        <v>132</v>
      </c>
      <c r="Q252" s="8" t="s">
        <v>367</v>
      </c>
      <c r="S252" s="8" t="s">
        <v>76</v>
      </c>
      <c r="T252" s="8" t="s">
        <v>371</v>
      </c>
      <c r="U252" s="8" t="s">
        <v>65</v>
      </c>
      <c r="V252" s="8" t="s">
        <v>399</v>
      </c>
      <c r="W252" s="8">
        <v>2</v>
      </c>
    </row>
    <row r="253" s="8" customFormat="1" spans="1:23">
      <c r="A253" s="25">
        <v>1030311</v>
      </c>
      <c r="B253" s="8" t="s">
        <v>409</v>
      </c>
      <c r="C253" s="8" t="str">
        <f t="shared" si="163"/>
        <v>item_1030311</v>
      </c>
      <c r="D253" s="8" t="str">
        <f t="shared" si="161"/>
        <v>item_desc_1030311</v>
      </c>
      <c r="E253" s="8" t="str">
        <f t="shared" si="162"/>
        <v>item_1030311</v>
      </c>
      <c r="F253" s="8">
        <v>10303</v>
      </c>
      <c r="G253" s="8">
        <f t="shared" si="164"/>
        <v>11</v>
      </c>
      <c r="H253" s="8">
        <v>1</v>
      </c>
      <c r="J253" s="8">
        <f t="shared" si="165"/>
        <v>1030312</v>
      </c>
      <c r="P253" s="8">
        <v>198</v>
      </c>
      <c r="Q253" s="8" t="s">
        <v>367</v>
      </c>
      <c r="S253" s="8" t="s">
        <v>76</v>
      </c>
      <c r="T253" s="8" t="s">
        <v>373</v>
      </c>
      <c r="U253" s="8" t="s">
        <v>65</v>
      </c>
      <c r="V253" s="8" t="s">
        <v>399</v>
      </c>
      <c r="W253" s="8">
        <v>2</v>
      </c>
    </row>
    <row r="254" s="8" customFormat="1" spans="1:23">
      <c r="A254" s="25">
        <v>1030312</v>
      </c>
      <c r="B254" s="8" t="s">
        <v>410</v>
      </c>
      <c r="C254" s="8" t="str">
        <f t="shared" si="163"/>
        <v>item_1030312</v>
      </c>
      <c r="D254" s="8" t="str">
        <f t="shared" si="161"/>
        <v>item_desc_1030312</v>
      </c>
      <c r="E254" s="8" t="str">
        <f t="shared" si="162"/>
        <v>item_1030312</v>
      </c>
      <c r="F254" s="8">
        <v>10303</v>
      </c>
      <c r="G254" s="8">
        <f t="shared" si="164"/>
        <v>12</v>
      </c>
      <c r="H254" s="8">
        <v>1</v>
      </c>
      <c r="P254" s="8">
        <v>303</v>
      </c>
      <c r="Q254" s="8" t="s">
        <v>367</v>
      </c>
      <c r="S254" s="8" t="s">
        <v>76</v>
      </c>
      <c r="T254" s="8" t="s">
        <v>375</v>
      </c>
      <c r="U254" s="8" t="s">
        <v>65</v>
      </c>
      <c r="V254" s="8" t="s">
        <v>399</v>
      </c>
      <c r="W254" s="8">
        <v>2</v>
      </c>
    </row>
    <row r="255" s="9" customFormat="1" spans="1:23">
      <c r="A255" s="26">
        <v>1030313</v>
      </c>
      <c r="B255" s="9" t="s">
        <v>411</v>
      </c>
      <c r="C255" s="9" t="str">
        <f t="shared" si="163"/>
        <v>item_1030313</v>
      </c>
      <c r="D255" s="9" t="str">
        <f t="shared" si="161"/>
        <v>item_desc_1030313</v>
      </c>
      <c r="E255" s="9" t="str">
        <f t="shared" si="162"/>
        <v>item_1030313</v>
      </c>
      <c r="H255" s="9">
        <v>1</v>
      </c>
      <c r="P255" s="9">
        <v>462</v>
      </c>
      <c r="Q255" s="9" t="s">
        <v>367</v>
      </c>
      <c r="S255" s="9" t="s">
        <v>76</v>
      </c>
      <c r="T255" s="9" t="s">
        <v>377</v>
      </c>
      <c r="U255" s="9" t="s">
        <v>65</v>
      </c>
      <c r="V255" s="9" t="s">
        <v>399</v>
      </c>
      <c r="W255" s="9">
        <v>2</v>
      </c>
    </row>
    <row r="256" s="9" customFormat="1" spans="1:23">
      <c r="A256" s="26">
        <v>1030314</v>
      </c>
      <c r="B256" s="9" t="s">
        <v>412</v>
      </c>
      <c r="C256" s="9" t="str">
        <f t="shared" si="163"/>
        <v>item_1030314</v>
      </c>
      <c r="D256" s="9" t="str">
        <f t="shared" si="161"/>
        <v>item_desc_1030314</v>
      </c>
      <c r="E256" s="9" t="str">
        <f t="shared" si="162"/>
        <v>item_1030314</v>
      </c>
      <c r="H256" s="9">
        <v>1</v>
      </c>
      <c r="J256" s="9" t="str">
        <f t="shared" si="165"/>
        <v/>
      </c>
      <c r="P256" s="9">
        <v>708</v>
      </c>
      <c r="Q256" s="9" t="s">
        <v>367</v>
      </c>
      <c r="S256" s="9" t="s">
        <v>76</v>
      </c>
      <c r="T256" s="9" t="s">
        <v>379</v>
      </c>
      <c r="U256" s="9" t="s">
        <v>65</v>
      </c>
      <c r="V256" s="9" t="s">
        <v>399</v>
      </c>
      <c r="W256" s="9">
        <v>2</v>
      </c>
    </row>
    <row r="257" s="8" customFormat="1" spans="1:22">
      <c r="A257" s="25">
        <v>1030401</v>
      </c>
      <c r="B257" s="8" t="s">
        <v>413</v>
      </c>
      <c r="C257" s="8" t="str">
        <f t="shared" si="163"/>
        <v>item_1030401</v>
      </c>
      <c r="D257" s="8" t="str">
        <f t="shared" si="161"/>
        <v>item_desc_1030401</v>
      </c>
      <c r="E257" s="8" t="str">
        <f t="shared" si="162"/>
        <v>item_1030401</v>
      </c>
      <c r="F257" s="8">
        <v>10304</v>
      </c>
      <c r="G257" s="8">
        <f t="shared" si="164"/>
        <v>1</v>
      </c>
      <c r="H257" s="8">
        <v>1</v>
      </c>
      <c r="J257" s="8">
        <f t="shared" si="165"/>
        <v>1030402</v>
      </c>
      <c r="K257" s="8">
        <v>4</v>
      </c>
      <c r="U257" s="8" t="s">
        <v>65</v>
      </c>
      <c r="V257" s="8" t="s">
        <v>399</v>
      </c>
    </row>
    <row r="258" s="8" customFormat="1" spans="1:22">
      <c r="A258" s="25">
        <v>1030402</v>
      </c>
      <c r="B258" s="8" t="s">
        <v>414</v>
      </c>
      <c r="C258" s="8" t="str">
        <f t="shared" si="163"/>
        <v>item_1030402</v>
      </c>
      <c r="D258" s="8" t="str">
        <f t="shared" si="161"/>
        <v>item_desc_1030402</v>
      </c>
      <c r="E258" s="8" t="str">
        <f t="shared" si="162"/>
        <v>item_1030402</v>
      </c>
      <c r="F258" s="8">
        <v>10304</v>
      </c>
      <c r="G258" s="8">
        <f t="shared" si="164"/>
        <v>2</v>
      </c>
      <c r="H258" s="8">
        <v>1</v>
      </c>
      <c r="J258" s="8">
        <f t="shared" si="165"/>
        <v>1030403</v>
      </c>
      <c r="K258" s="8">
        <v>5</v>
      </c>
      <c r="U258" s="8" t="s">
        <v>65</v>
      </c>
      <c r="V258" s="8" t="s">
        <v>399</v>
      </c>
    </row>
    <row r="259" s="8" customFormat="1" spans="1:23">
      <c r="A259" s="25">
        <v>1030403</v>
      </c>
      <c r="B259" s="8" t="s">
        <v>415</v>
      </c>
      <c r="C259" s="8" t="str">
        <f t="shared" si="163"/>
        <v>item_1030403</v>
      </c>
      <c r="D259" s="8" t="str">
        <f t="shared" si="161"/>
        <v>item_desc_1030403</v>
      </c>
      <c r="E259" s="8" t="str">
        <f t="shared" si="162"/>
        <v>item_1030403</v>
      </c>
      <c r="F259" s="8">
        <v>10304</v>
      </c>
      <c r="G259" s="8">
        <f t="shared" si="164"/>
        <v>3</v>
      </c>
      <c r="H259" s="8">
        <v>1</v>
      </c>
      <c r="J259" s="8">
        <f t="shared" si="165"/>
        <v>1030404</v>
      </c>
      <c r="K259" s="8">
        <v>5</v>
      </c>
      <c r="L259" s="4">
        <v>1</v>
      </c>
      <c r="M259" s="28" t="s">
        <v>71</v>
      </c>
      <c r="P259" s="8">
        <v>12</v>
      </c>
      <c r="S259" s="8" t="s">
        <v>385</v>
      </c>
      <c r="T259" s="28" t="s">
        <v>71</v>
      </c>
      <c r="U259" s="8" t="s">
        <v>65</v>
      </c>
      <c r="V259" s="8" t="s">
        <v>399</v>
      </c>
      <c r="W259" s="8">
        <v>1</v>
      </c>
    </row>
    <row r="260" s="8" customFormat="1" spans="1:23">
      <c r="A260" s="25">
        <v>1030404</v>
      </c>
      <c r="B260" s="8" t="s">
        <v>416</v>
      </c>
      <c r="C260" s="8" t="str">
        <f t="shared" si="163"/>
        <v>item_1030404</v>
      </c>
      <c r="D260" s="8" t="str">
        <f t="shared" si="161"/>
        <v>item_desc_1030404</v>
      </c>
      <c r="E260" s="8" t="str">
        <f t="shared" si="162"/>
        <v>item_1030404</v>
      </c>
      <c r="F260" s="8">
        <v>10304</v>
      </c>
      <c r="G260" s="8">
        <f t="shared" si="164"/>
        <v>4</v>
      </c>
      <c r="H260" s="8">
        <v>1</v>
      </c>
      <c r="J260" s="8">
        <f t="shared" si="165"/>
        <v>1030405</v>
      </c>
      <c r="K260" s="8">
        <v>5</v>
      </c>
      <c r="L260" s="4">
        <v>1</v>
      </c>
      <c r="M260" s="28" t="s">
        <v>74</v>
      </c>
      <c r="P260" s="8">
        <v>21</v>
      </c>
      <c r="S260" s="8" t="s">
        <v>230</v>
      </c>
      <c r="T260" s="28" t="s">
        <v>74</v>
      </c>
      <c r="U260" s="8" t="s">
        <v>65</v>
      </c>
      <c r="V260" s="8" t="s">
        <v>399</v>
      </c>
      <c r="W260" s="8">
        <v>2</v>
      </c>
    </row>
    <row r="261" s="10" customFormat="1" spans="1:23">
      <c r="A261" s="27">
        <v>1030405</v>
      </c>
      <c r="B261" s="10" t="s">
        <v>417</v>
      </c>
      <c r="C261" s="30" t="s">
        <v>418</v>
      </c>
      <c r="D261" s="8" t="s">
        <v>419</v>
      </c>
      <c r="E261" s="10" t="str">
        <f t="shared" si="162"/>
        <v>item_1030405</v>
      </c>
      <c r="F261" s="10">
        <v>10304</v>
      </c>
      <c r="G261" s="10">
        <f t="shared" si="164"/>
        <v>5</v>
      </c>
      <c r="H261" s="10">
        <v>1</v>
      </c>
      <c r="J261" s="10" t="str">
        <f t="shared" si="165"/>
        <v/>
      </c>
      <c r="K261" s="10">
        <v>5</v>
      </c>
      <c r="L261" s="4">
        <v>1</v>
      </c>
      <c r="M261" s="29" t="s">
        <v>78</v>
      </c>
      <c r="P261" s="10">
        <v>36</v>
      </c>
      <c r="S261" s="10" t="s">
        <v>230</v>
      </c>
      <c r="T261" s="29" t="s">
        <v>78</v>
      </c>
      <c r="U261" s="10" t="s">
        <v>65</v>
      </c>
      <c r="V261" s="10" t="s">
        <v>399</v>
      </c>
      <c r="W261" s="10">
        <v>2</v>
      </c>
    </row>
    <row r="262" s="7" customFormat="1" spans="1:11">
      <c r="A262" s="24">
        <v>1040401</v>
      </c>
      <c r="B262" s="7" t="s">
        <v>420</v>
      </c>
      <c r="C262" s="7" t="str">
        <f t="shared" si="163"/>
        <v>item_1040401</v>
      </c>
      <c r="D262" s="7" t="str">
        <f t="shared" si="161"/>
        <v>item_desc_1040401</v>
      </c>
      <c r="E262" s="7" t="str">
        <f t="shared" si="162"/>
        <v>item_1040401</v>
      </c>
      <c r="F262" s="7">
        <v>10404</v>
      </c>
      <c r="G262" s="7">
        <f t="shared" si="164"/>
        <v>1</v>
      </c>
      <c r="H262" s="7">
        <v>1</v>
      </c>
      <c r="J262" s="7">
        <f t="shared" si="165"/>
        <v>1040402</v>
      </c>
      <c r="K262" s="7">
        <v>6</v>
      </c>
    </row>
    <row r="263" s="8" customFormat="1" spans="1:11">
      <c r="A263" s="25">
        <v>1040402</v>
      </c>
      <c r="B263" s="8" t="s">
        <v>421</v>
      </c>
      <c r="C263" s="8" t="str">
        <f t="shared" si="163"/>
        <v>item_1040402</v>
      </c>
      <c r="D263" s="8" t="str">
        <f t="shared" si="161"/>
        <v>item_desc_1040402</v>
      </c>
      <c r="E263" s="8" t="str">
        <f t="shared" si="162"/>
        <v>item_1040402</v>
      </c>
      <c r="F263" s="8">
        <v>10404</v>
      </c>
      <c r="G263" s="8">
        <f t="shared" si="164"/>
        <v>2</v>
      </c>
      <c r="H263" s="8">
        <v>1</v>
      </c>
      <c r="J263" s="8">
        <f t="shared" si="165"/>
        <v>1040403</v>
      </c>
      <c r="K263" s="8">
        <v>6</v>
      </c>
    </row>
    <row r="264" s="8" customFormat="1" spans="1:23">
      <c r="A264" s="25">
        <v>1040403</v>
      </c>
      <c r="B264" s="8" t="s">
        <v>422</v>
      </c>
      <c r="C264" s="8" t="str">
        <f t="shared" si="163"/>
        <v>item_1040403</v>
      </c>
      <c r="D264" s="8" t="str">
        <f t="shared" si="161"/>
        <v>item_desc_1040403</v>
      </c>
      <c r="E264" s="8" t="str">
        <f t="shared" si="162"/>
        <v>item_1040403</v>
      </c>
      <c r="F264" s="8">
        <v>10404</v>
      </c>
      <c r="G264" s="8">
        <f t="shared" si="164"/>
        <v>3</v>
      </c>
      <c r="H264" s="8">
        <v>1</v>
      </c>
      <c r="J264" s="8">
        <f t="shared" si="165"/>
        <v>1040404</v>
      </c>
      <c r="W264" s="8">
        <v>1</v>
      </c>
    </row>
    <row r="265" s="8" customFormat="1" spans="1:23">
      <c r="A265" s="25">
        <v>1040404</v>
      </c>
      <c r="B265" s="8" t="s">
        <v>423</v>
      </c>
      <c r="C265" s="8" t="str">
        <f t="shared" si="163"/>
        <v>item_1040404</v>
      </c>
      <c r="D265" s="8" t="str">
        <f t="shared" si="161"/>
        <v>item_desc_1040404</v>
      </c>
      <c r="E265" s="8" t="str">
        <f t="shared" si="162"/>
        <v>item_1040404</v>
      </c>
      <c r="F265" s="8">
        <v>10404</v>
      </c>
      <c r="G265" s="8">
        <f t="shared" si="164"/>
        <v>4</v>
      </c>
      <c r="H265" s="8">
        <v>1</v>
      </c>
      <c r="J265" s="8">
        <f t="shared" si="165"/>
        <v>1040405</v>
      </c>
      <c r="W265" s="8">
        <v>1</v>
      </c>
    </row>
    <row r="266" s="8" customFormat="1" spans="1:23">
      <c r="A266" s="25">
        <v>1040405</v>
      </c>
      <c r="B266" s="8" t="s">
        <v>424</v>
      </c>
      <c r="C266" s="8" t="str">
        <f t="shared" si="163"/>
        <v>item_1040405</v>
      </c>
      <c r="D266" s="8" t="str">
        <f t="shared" si="161"/>
        <v>item_desc_1040405</v>
      </c>
      <c r="E266" s="8" t="str">
        <f t="shared" si="162"/>
        <v>item_1040405</v>
      </c>
      <c r="F266" s="8">
        <v>10404</v>
      </c>
      <c r="G266" s="8">
        <f t="shared" si="164"/>
        <v>5</v>
      </c>
      <c r="H266" s="8">
        <v>1</v>
      </c>
      <c r="J266" s="8">
        <f t="shared" si="165"/>
        <v>1040406</v>
      </c>
      <c r="W266" s="8">
        <v>1</v>
      </c>
    </row>
    <row r="267" s="8" customFormat="1" spans="1:23">
      <c r="A267" s="25">
        <v>1040406</v>
      </c>
      <c r="B267" s="8" t="s">
        <v>425</v>
      </c>
      <c r="C267" s="8" t="str">
        <f t="shared" si="163"/>
        <v>item_1040406</v>
      </c>
      <c r="D267" s="8" t="str">
        <f t="shared" si="161"/>
        <v>item_desc_1040406</v>
      </c>
      <c r="E267" s="8" t="str">
        <f t="shared" si="162"/>
        <v>item_1040406</v>
      </c>
      <c r="F267" s="8">
        <v>10404</v>
      </c>
      <c r="G267" s="8">
        <f t="shared" si="164"/>
        <v>6</v>
      </c>
      <c r="H267" s="8">
        <v>2</v>
      </c>
      <c r="J267" s="8">
        <f t="shared" si="165"/>
        <v>1040407</v>
      </c>
      <c r="W267" s="8">
        <v>2</v>
      </c>
    </row>
    <row r="268" s="8" customFormat="1" spans="1:23">
      <c r="A268" s="25">
        <v>1040407</v>
      </c>
      <c r="B268" s="8" t="s">
        <v>426</v>
      </c>
      <c r="C268" s="8" t="str">
        <f t="shared" si="163"/>
        <v>item_1040407</v>
      </c>
      <c r="D268" s="8" t="str">
        <f t="shared" ref="D268:D331" si="167">"item_desc_"&amp;A268</f>
        <v>item_desc_1040407</v>
      </c>
      <c r="E268" s="8" t="str">
        <f t="shared" ref="E268:E331" si="168">"item_"&amp;A268</f>
        <v>item_1040407</v>
      </c>
      <c r="F268" s="8">
        <v>10404</v>
      </c>
      <c r="G268" s="8">
        <f t="shared" si="164"/>
        <v>7</v>
      </c>
      <c r="H268" s="8">
        <v>2</v>
      </c>
      <c r="J268" s="8">
        <f t="shared" si="165"/>
        <v>1040408</v>
      </c>
      <c r="W268" s="8">
        <v>2</v>
      </c>
    </row>
    <row r="269" s="8" customFormat="1" spans="1:23">
      <c r="A269" s="25">
        <v>1040408</v>
      </c>
      <c r="B269" s="8" t="s">
        <v>427</v>
      </c>
      <c r="C269" s="8" t="str">
        <f t="shared" ref="C269:C332" si="169">"item_"&amp;A269</f>
        <v>item_1040408</v>
      </c>
      <c r="D269" s="8" t="str">
        <f t="shared" si="167"/>
        <v>item_desc_1040408</v>
      </c>
      <c r="E269" s="8" t="str">
        <f t="shared" si="168"/>
        <v>item_1040408</v>
      </c>
      <c r="F269" s="8">
        <v>10404</v>
      </c>
      <c r="G269" s="8">
        <f t="shared" ref="G269:G332" si="170">IF(F269&lt;&gt;F268,1,G268+1)</f>
        <v>8</v>
      </c>
      <c r="H269" s="8">
        <v>2</v>
      </c>
      <c r="J269" s="8">
        <f t="shared" si="165"/>
        <v>1040409</v>
      </c>
      <c r="W269" s="8">
        <v>2</v>
      </c>
    </row>
    <row r="270" s="8" customFormat="1" spans="1:23">
      <c r="A270" s="25">
        <v>1040409</v>
      </c>
      <c r="B270" s="8" t="s">
        <v>428</v>
      </c>
      <c r="C270" s="8" t="str">
        <f t="shared" si="169"/>
        <v>item_1040409</v>
      </c>
      <c r="D270" s="8" t="str">
        <f t="shared" si="167"/>
        <v>item_desc_1040409</v>
      </c>
      <c r="E270" s="8" t="str">
        <f t="shared" si="168"/>
        <v>item_1040409</v>
      </c>
      <c r="F270" s="8">
        <v>10404</v>
      </c>
      <c r="G270" s="8">
        <f t="shared" si="170"/>
        <v>9</v>
      </c>
      <c r="H270" s="8">
        <v>2</v>
      </c>
      <c r="J270" s="8" t="str">
        <f t="shared" ref="J270:J333" si="171">IF(A271-A270=1,A271,"")</f>
        <v/>
      </c>
      <c r="W270" s="8">
        <v>2</v>
      </c>
    </row>
    <row r="271" s="8" customFormat="1" spans="1:22">
      <c r="A271" s="25">
        <v>1030601</v>
      </c>
      <c r="B271" s="8" t="s">
        <v>429</v>
      </c>
      <c r="C271" s="8" t="str">
        <f t="shared" si="169"/>
        <v>item_1030601</v>
      </c>
      <c r="D271" s="8" t="str">
        <f t="shared" si="167"/>
        <v>item_desc_1030601</v>
      </c>
      <c r="E271" s="8" t="str">
        <f t="shared" si="168"/>
        <v>item_1030601</v>
      </c>
      <c r="F271" s="8">
        <v>10306</v>
      </c>
      <c r="G271" s="8">
        <f t="shared" si="170"/>
        <v>1</v>
      </c>
      <c r="H271" s="8">
        <v>1</v>
      </c>
      <c r="J271" s="8">
        <f t="shared" si="171"/>
        <v>1030602</v>
      </c>
      <c r="K271" s="8">
        <v>4</v>
      </c>
      <c r="T271" s="28" t="s">
        <v>68</v>
      </c>
      <c r="U271" s="8" t="s">
        <v>65</v>
      </c>
      <c r="V271" s="8" t="s">
        <v>430</v>
      </c>
    </row>
    <row r="272" s="8" customFormat="1" spans="1:22">
      <c r="A272" s="25">
        <v>1030602</v>
      </c>
      <c r="B272" s="8" t="s">
        <v>431</v>
      </c>
      <c r="C272" s="8" t="str">
        <f t="shared" si="169"/>
        <v>item_1030602</v>
      </c>
      <c r="D272" s="8" t="str">
        <f t="shared" si="167"/>
        <v>item_desc_1030602</v>
      </c>
      <c r="E272" s="8" t="str">
        <f t="shared" si="168"/>
        <v>item_1030602</v>
      </c>
      <c r="F272" s="8">
        <v>10306</v>
      </c>
      <c r="G272" s="8">
        <f t="shared" si="170"/>
        <v>2</v>
      </c>
      <c r="H272" s="8">
        <v>1</v>
      </c>
      <c r="J272" s="8">
        <f t="shared" si="171"/>
        <v>1030603</v>
      </c>
      <c r="K272" s="8">
        <v>5</v>
      </c>
      <c r="P272" s="8">
        <v>6</v>
      </c>
      <c r="S272" s="8" t="s">
        <v>385</v>
      </c>
      <c r="T272" s="28" t="s">
        <v>432</v>
      </c>
      <c r="U272" s="8" t="s">
        <v>65</v>
      </c>
      <c r="V272" s="8" t="s">
        <v>430</v>
      </c>
    </row>
    <row r="273" s="8" customFormat="1" spans="1:23">
      <c r="A273" s="25">
        <v>1030603</v>
      </c>
      <c r="B273" s="8" t="s">
        <v>433</v>
      </c>
      <c r="C273" s="8" t="str">
        <f t="shared" si="169"/>
        <v>item_1030603</v>
      </c>
      <c r="D273" s="8" t="str">
        <f t="shared" si="167"/>
        <v>item_desc_1030603</v>
      </c>
      <c r="E273" s="8" t="str">
        <f t="shared" si="168"/>
        <v>item_1030603</v>
      </c>
      <c r="F273" s="8">
        <v>10306</v>
      </c>
      <c r="G273" s="8">
        <f t="shared" si="170"/>
        <v>3</v>
      </c>
      <c r="H273" s="8">
        <v>1</v>
      </c>
      <c r="J273" s="8">
        <f t="shared" si="171"/>
        <v>1030604</v>
      </c>
      <c r="K273" s="8">
        <v>5</v>
      </c>
      <c r="P273" s="8">
        <v>12</v>
      </c>
      <c r="S273" s="8" t="s">
        <v>230</v>
      </c>
      <c r="T273" s="28" t="s">
        <v>434</v>
      </c>
      <c r="U273" s="8" t="s">
        <v>65</v>
      </c>
      <c r="V273" s="8" t="s">
        <v>430</v>
      </c>
      <c r="W273" s="8">
        <v>1</v>
      </c>
    </row>
    <row r="274" s="8" customFormat="1" spans="1:23">
      <c r="A274" s="25">
        <v>1030604</v>
      </c>
      <c r="B274" s="8" t="s">
        <v>435</v>
      </c>
      <c r="C274" s="8" t="str">
        <f t="shared" si="169"/>
        <v>item_1030604</v>
      </c>
      <c r="D274" s="8" t="str">
        <f t="shared" si="167"/>
        <v>item_desc_1030604</v>
      </c>
      <c r="E274" s="8" t="str">
        <f t="shared" si="168"/>
        <v>item_1030604</v>
      </c>
      <c r="F274" s="8">
        <v>10306</v>
      </c>
      <c r="G274" s="8">
        <f t="shared" si="170"/>
        <v>4</v>
      </c>
      <c r="H274" s="8">
        <v>1</v>
      </c>
      <c r="J274" s="8">
        <f t="shared" si="171"/>
        <v>1030605</v>
      </c>
      <c r="L274" s="4">
        <v>1</v>
      </c>
      <c r="M274" s="28" t="s">
        <v>436</v>
      </c>
      <c r="P274" s="8">
        <v>21</v>
      </c>
      <c r="S274" s="8" t="s">
        <v>230</v>
      </c>
      <c r="T274" s="28" t="s">
        <v>436</v>
      </c>
      <c r="U274" s="8" t="s">
        <v>65</v>
      </c>
      <c r="V274" s="8" t="s">
        <v>430</v>
      </c>
      <c r="W274" s="8">
        <v>2</v>
      </c>
    </row>
    <row r="275" s="8" customFormat="1" spans="1:23">
      <c r="A275" s="25">
        <v>1030605</v>
      </c>
      <c r="B275" s="8" t="s">
        <v>437</v>
      </c>
      <c r="C275" s="8" t="str">
        <f t="shared" si="169"/>
        <v>item_1030605</v>
      </c>
      <c r="D275" s="8" t="str">
        <f t="shared" si="167"/>
        <v>item_desc_1030605</v>
      </c>
      <c r="E275" s="8" t="str">
        <f t="shared" si="168"/>
        <v>item_1030605</v>
      </c>
      <c r="F275" s="8">
        <v>10306</v>
      </c>
      <c r="G275" s="8">
        <f t="shared" si="170"/>
        <v>5</v>
      </c>
      <c r="H275" s="8">
        <v>1</v>
      </c>
      <c r="J275" s="8">
        <f t="shared" si="171"/>
        <v>1030606</v>
      </c>
      <c r="L275" s="4">
        <v>1</v>
      </c>
      <c r="M275" s="28" t="s">
        <v>438</v>
      </c>
      <c r="P275" s="8">
        <v>36</v>
      </c>
      <c r="S275" s="8" t="s">
        <v>230</v>
      </c>
      <c r="T275" s="28" t="s">
        <v>438</v>
      </c>
      <c r="U275" s="8" t="s">
        <v>65</v>
      </c>
      <c r="V275" s="8" t="s">
        <v>430</v>
      </c>
      <c r="W275" s="8">
        <v>2</v>
      </c>
    </row>
    <row r="276" s="10" customFormat="1" spans="1:23">
      <c r="A276" s="27">
        <v>1030606</v>
      </c>
      <c r="B276" s="10" t="s">
        <v>439</v>
      </c>
      <c r="C276" s="10" t="str">
        <f t="shared" si="169"/>
        <v>item_1030606</v>
      </c>
      <c r="D276" s="10" t="str">
        <f t="shared" si="167"/>
        <v>item_desc_1030606</v>
      </c>
      <c r="E276" s="10" t="str">
        <f t="shared" si="168"/>
        <v>item_1030606</v>
      </c>
      <c r="F276" s="10">
        <v>10306</v>
      </c>
      <c r="G276" s="10">
        <f t="shared" si="170"/>
        <v>6</v>
      </c>
      <c r="H276" s="10">
        <v>1</v>
      </c>
      <c r="J276" s="10" t="str">
        <f t="shared" si="171"/>
        <v/>
      </c>
      <c r="L276" s="5">
        <v>1</v>
      </c>
      <c r="M276" s="29" t="s">
        <v>440</v>
      </c>
      <c r="P276" s="10">
        <v>54</v>
      </c>
      <c r="S276" s="10" t="s">
        <v>230</v>
      </c>
      <c r="T276" s="29" t="s">
        <v>440</v>
      </c>
      <c r="U276" s="10" t="s">
        <v>65</v>
      </c>
      <c r="V276" s="10" t="s">
        <v>430</v>
      </c>
      <c r="W276" s="10">
        <v>2</v>
      </c>
    </row>
    <row r="277" s="8" customFormat="1" spans="1:11">
      <c r="A277" s="8">
        <v>1040501</v>
      </c>
      <c r="B277" s="8" t="s">
        <v>441</v>
      </c>
      <c r="C277" s="8" t="str">
        <f t="shared" si="169"/>
        <v>item_1040501</v>
      </c>
      <c r="D277" s="8" t="str">
        <f t="shared" si="167"/>
        <v>item_desc_1040501</v>
      </c>
      <c r="E277" s="8" t="str">
        <f t="shared" si="168"/>
        <v>item_1040501</v>
      </c>
      <c r="F277" s="8">
        <v>10405</v>
      </c>
      <c r="G277" s="8">
        <f t="shared" si="170"/>
        <v>1</v>
      </c>
      <c r="H277" s="8">
        <v>1</v>
      </c>
      <c r="J277" s="8">
        <f t="shared" si="171"/>
        <v>1040502</v>
      </c>
      <c r="K277" s="8">
        <v>6</v>
      </c>
    </row>
    <row r="278" s="8" customFormat="1" spans="1:11">
      <c r="A278" s="8">
        <v>1040502</v>
      </c>
      <c r="B278" s="8" t="s">
        <v>442</v>
      </c>
      <c r="C278" s="8" t="str">
        <f t="shared" si="169"/>
        <v>item_1040502</v>
      </c>
      <c r="D278" s="8" t="str">
        <f t="shared" si="167"/>
        <v>item_desc_1040502</v>
      </c>
      <c r="E278" s="8" t="str">
        <f t="shared" si="168"/>
        <v>item_1040502</v>
      </c>
      <c r="F278" s="8">
        <v>10405</v>
      </c>
      <c r="G278" s="8">
        <f t="shared" si="170"/>
        <v>2</v>
      </c>
      <c r="H278" s="8">
        <v>1</v>
      </c>
      <c r="J278" s="8">
        <f t="shared" si="171"/>
        <v>1040503</v>
      </c>
      <c r="K278" s="8">
        <v>6</v>
      </c>
    </row>
    <row r="279" s="8" customFormat="1" spans="1:23">
      <c r="A279" s="8">
        <v>1040503</v>
      </c>
      <c r="B279" s="8" t="s">
        <v>443</v>
      </c>
      <c r="C279" s="8" t="str">
        <f t="shared" si="169"/>
        <v>item_1040503</v>
      </c>
      <c r="D279" s="8" t="str">
        <f t="shared" si="167"/>
        <v>item_desc_1040503</v>
      </c>
      <c r="E279" s="8" t="str">
        <f t="shared" si="168"/>
        <v>item_1040503</v>
      </c>
      <c r="F279" s="8">
        <v>10405</v>
      </c>
      <c r="G279" s="8">
        <f t="shared" si="170"/>
        <v>3</v>
      </c>
      <c r="H279" s="8">
        <v>1</v>
      </c>
      <c r="J279" s="8">
        <f t="shared" si="171"/>
        <v>1040504</v>
      </c>
      <c r="W279" s="8">
        <v>1</v>
      </c>
    </row>
    <row r="280" s="8" customFormat="1" spans="1:23">
      <c r="A280" s="8">
        <v>1040504</v>
      </c>
      <c r="B280" s="8" t="s">
        <v>444</v>
      </c>
      <c r="C280" s="8" t="str">
        <f t="shared" si="169"/>
        <v>item_1040504</v>
      </c>
      <c r="D280" s="8" t="str">
        <f t="shared" si="167"/>
        <v>item_desc_1040504</v>
      </c>
      <c r="E280" s="8" t="str">
        <f t="shared" si="168"/>
        <v>item_1040504</v>
      </c>
      <c r="F280" s="8">
        <v>10405</v>
      </c>
      <c r="G280" s="8">
        <f t="shared" si="170"/>
        <v>4</v>
      </c>
      <c r="H280" s="8">
        <v>1</v>
      </c>
      <c r="J280" s="8">
        <f t="shared" si="171"/>
        <v>1040505</v>
      </c>
      <c r="W280" s="8">
        <v>1</v>
      </c>
    </row>
    <row r="281" s="8" customFormat="1" spans="1:23">
      <c r="A281" s="8">
        <v>1040505</v>
      </c>
      <c r="B281" s="8" t="s">
        <v>445</v>
      </c>
      <c r="C281" s="8" t="str">
        <f t="shared" si="169"/>
        <v>item_1040505</v>
      </c>
      <c r="D281" s="8" t="str">
        <f t="shared" si="167"/>
        <v>item_desc_1040505</v>
      </c>
      <c r="E281" s="8" t="str">
        <f t="shared" si="168"/>
        <v>item_1040505</v>
      </c>
      <c r="F281" s="8">
        <v>10405</v>
      </c>
      <c r="G281" s="8">
        <f t="shared" si="170"/>
        <v>5</v>
      </c>
      <c r="H281" s="8">
        <v>2</v>
      </c>
      <c r="J281" s="8">
        <f t="shared" si="171"/>
        <v>1040506</v>
      </c>
      <c r="W281" s="8">
        <v>1</v>
      </c>
    </row>
    <row r="282" s="8" customFormat="1" spans="1:23">
      <c r="A282" s="8">
        <v>1040506</v>
      </c>
      <c r="B282" s="8" t="s">
        <v>446</v>
      </c>
      <c r="C282" s="8" t="str">
        <f t="shared" si="169"/>
        <v>item_1040506</v>
      </c>
      <c r="D282" s="8" t="str">
        <f t="shared" si="167"/>
        <v>item_desc_1040506</v>
      </c>
      <c r="E282" s="8" t="str">
        <f t="shared" si="168"/>
        <v>item_1040506</v>
      </c>
      <c r="F282" s="8">
        <v>10405</v>
      </c>
      <c r="G282" s="8">
        <f t="shared" si="170"/>
        <v>6</v>
      </c>
      <c r="H282" s="8">
        <v>2</v>
      </c>
      <c r="J282" s="8">
        <f t="shared" si="171"/>
        <v>1040507</v>
      </c>
      <c r="W282" s="8">
        <v>2</v>
      </c>
    </row>
    <row r="283" s="8" customFormat="1" spans="1:23">
      <c r="A283" s="8">
        <v>1040507</v>
      </c>
      <c r="B283" s="8" t="s">
        <v>447</v>
      </c>
      <c r="C283" s="8" t="str">
        <f t="shared" si="169"/>
        <v>item_1040507</v>
      </c>
      <c r="D283" s="8" t="str">
        <f t="shared" si="167"/>
        <v>item_desc_1040507</v>
      </c>
      <c r="E283" s="8" t="str">
        <f t="shared" si="168"/>
        <v>item_1040507</v>
      </c>
      <c r="F283" s="8">
        <v>10405</v>
      </c>
      <c r="G283" s="8">
        <f t="shared" si="170"/>
        <v>7</v>
      </c>
      <c r="H283" s="8">
        <v>2</v>
      </c>
      <c r="W283" s="8">
        <v>2</v>
      </c>
    </row>
    <row r="284" s="9" customFormat="1" spans="1:23">
      <c r="A284" s="9">
        <v>1040508</v>
      </c>
      <c r="B284" s="9" t="s">
        <v>448</v>
      </c>
      <c r="C284" s="9" t="str">
        <f t="shared" si="169"/>
        <v>item_1040508</v>
      </c>
      <c r="D284" s="9" t="str">
        <f t="shared" si="167"/>
        <v>item_desc_1040508</v>
      </c>
      <c r="E284" s="9" t="str">
        <f t="shared" si="168"/>
        <v>item_1040508</v>
      </c>
      <c r="H284" s="9">
        <v>2</v>
      </c>
      <c r="W284" s="9">
        <v>2</v>
      </c>
    </row>
    <row r="285" s="9" customFormat="1" spans="1:23">
      <c r="A285" s="9">
        <v>1040509</v>
      </c>
      <c r="B285" s="9" t="s">
        <v>449</v>
      </c>
      <c r="C285" s="9" t="str">
        <f t="shared" si="169"/>
        <v>item_1040509</v>
      </c>
      <c r="D285" s="9" t="str">
        <f t="shared" si="167"/>
        <v>item_desc_1040509</v>
      </c>
      <c r="E285" s="9" t="str">
        <f t="shared" si="168"/>
        <v>item_1040509</v>
      </c>
      <c r="H285" s="9">
        <v>2</v>
      </c>
      <c r="W285" s="9">
        <v>2</v>
      </c>
    </row>
    <row r="286" s="9" customFormat="1" spans="1:23">
      <c r="A286" s="9">
        <v>1040510</v>
      </c>
      <c r="B286" s="9" t="s">
        <v>450</v>
      </c>
      <c r="C286" s="9" t="str">
        <f t="shared" si="169"/>
        <v>item_1040510</v>
      </c>
      <c r="D286" s="9" t="str">
        <f t="shared" si="167"/>
        <v>item_desc_1040510</v>
      </c>
      <c r="E286" s="9" t="str">
        <f t="shared" si="168"/>
        <v>item_1040510</v>
      </c>
      <c r="H286" s="9">
        <v>2</v>
      </c>
      <c r="J286" s="9" t="str">
        <f t="shared" si="171"/>
        <v/>
      </c>
      <c r="W286" s="9">
        <v>2</v>
      </c>
    </row>
    <row r="287" s="8" customFormat="1" spans="1:22">
      <c r="A287" s="8">
        <v>1040601</v>
      </c>
      <c r="B287" s="8" t="s">
        <v>451</v>
      </c>
      <c r="C287" s="8" t="str">
        <f t="shared" si="169"/>
        <v>item_1040601</v>
      </c>
      <c r="D287" s="8" t="str">
        <f t="shared" si="167"/>
        <v>item_desc_1040601</v>
      </c>
      <c r="E287" s="8" t="str">
        <f t="shared" si="168"/>
        <v>item_1040601</v>
      </c>
      <c r="F287" s="8">
        <v>10406</v>
      </c>
      <c r="G287" s="8">
        <f t="shared" si="170"/>
        <v>1</v>
      </c>
      <c r="H287" s="8">
        <v>1</v>
      </c>
      <c r="J287" s="8">
        <f t="shared" si="171"/>
        <v>1040602</v>
      </c>
      <c r="K287" s="8">
        <v>5</v>
      </c>
      <c r="U287" s="8" t="s">
        <v>65</v>
      </c>
      <c r="V287" s="8" t="s">
        <v>452</v>
      </c>
    </row>
    <row r="288" s="8" customFormat="1" spans="1:22">
      <c r="A288" s="8">
        <v>1040602</v>
      </c>
      <c r="B288" s="8" t="s">
        <v>453</v>
      </c>
      <c r="C288" s="8" t="str">
        <f t="shared" si="169"/>
        <v>item_1040602</v>
      </c>
      <c r="D288" s="8" t="str">
        <f t="shared" si="167"/>
        <v>item_desc_1040602</v>
      </c>
      <c r="E288" s="8" t="str">
        <f t="shared" si="168"/>
        <v>item_1040602</v>
      </c>
      <c r="F288" s="8">
        <v>10406</v>
      </c>
      <c r="G288" s="8">
        <f t="shared" si="170"/>
        <v>2</v>
      </c>
      <c r="H288" s="8">
        <v>1</v>
      </c>
      <c r="J288" s="8">
        <f t="shared" si="171"/>
        <v>1040603</v>
      </c>
      <c r="U288" s="8" t="s">
        <v>65</v>
      </c>
      <c r="V288" s="8" t="s">
        <v>452</v>
      </c>
    </row>
    <row r="289" s="8" customFormat="1" spans="1:23">
      <c r="A289" s="8">
        <v>1040603</v>
      </c>
      <c r="B289" s="8" t="s">
        <v>454</v>
      </c>
      <c r="C289" s="8" t="str">
        <f t="shared" si="169"/>
        <v>item_1040603</v>
      </c>
      <c r="D289" s="8" t="str">
        <f t="shared" si="167"/>
        <v>item_desc_1040603</v>
      </c>
      <c r="E289" s="8" t="str">
        <f t="shared" si="168"/>
        <v>item_1040603</v>
      </c>
      <c r="F289" s="8">
        <v>10406</v>
      </c>
      <c r="G289" s="8">
        <f t="shared" si="170"/>
        <v>3</v>
      </c>
      <c r="H289" s="8">
        <v>1</v>
      </c>
      <c r="J289" s="8">
        <f t="shared" si="171"/>
        <v>1040604</v>
      </c>
      <c r="U289" s="8" t="s">
        <v>65</v>
      </c>
      <c r="V289" s="8" t="s">
        <v>452</v>
      </c>
      <c r="W289" s="8">
        <v>1</v>
      </c>
    </row>
    <row r="290" s="8" customFormat="1" spans="1:23">
      <c r="A290" s="8">
        <v>1040604</v>
      </c>
      <c r="B290" s="8" t="s">
        <v>455</v>
      </c>
      <c r="C290" s="8" t="str">
        <f t="shared" si="169"/>
        <v>item_1040604</v>
      </c>
      <c r="D290" s="8" t="str">
        <f t="shared" si="167"/>
        <v>item_desc_1040604</v>
      </c>
      <c r="E290" s="8" t="str">
        <f t="shared" si="168"/>
        <v>item_1040604</v>
      </c>
      <c r="F290" s="8">
        <v>10406</v>
      </c>
      <c r="G290" s="8">
        <f t="shared" si="170"/>
        <v>4</v>
      </c>
      <c r="H290" s="8">
        <v>1</v>
      </c>
      <c r="J290" s="8">
        <f t="shared" si="171"/>
        <v>1040605</v>
      </c>
      <c r="U290" s="8" t="s">
        <v>65</v>
      </c>
      <c r="V290" s="8" t="s">
        <v>452</v>
      </c>
      <c r="W290" s="8">
        <v>2</v>
      </c>
    </row>
    <row r="291" s="8" customFormat="1" spans="1:23">
      <c r="A291" s="8">
        <v>1040605</v>
      </c>
      <c r="B291" s="8" t="s">
        <v>456</v>
      </c>
      <c r="C291" s="8" t="str">
        <f t="shared" si="169"/>
        <v>item_1040605</v>
      </c>
      <c r="D291" s="8" t="str">
        <f t="shared" si="167"/>
        <v>item_desc_1040605</v>
      </c>
      <c r="E291" s="8" t="str">
        <f t="shared" si="168"/>
        <v>item_1040605</v>
      </c>
      <c r="F291" s="8">
        <v>10406</v>
      </c>
      <c r="G291" s="8">
        <f t="shared" si="170"/>
        <v>5</v>
      </c>
      <c r="H291" s="8">
        <v>2</v>
      </c>
      <c r="J291" s="8" t="str">
        <f t="shared" si="171"/>
        <v/>
      </c>
      <c r="U291" s="8" t="s">
        <v>65</v>
      </c>
      <c r="V291" s="8" t="s">
        <v>452</v>
      </c>
      <c r="W291" s="8">
        <v>2</v>
      </c>
    </row>
    <row r="292" s="8" customFormat="1" spans="1:22">
      <c r="A292" s="8">
        <v>1030701</v>
      </c>
      <c r="B292" s="8" t="s">
        <v>457</v>
      </c>
      <c r="C292" s="8" t="str">
        <f t="shared" si="169"/>
        <v>item_1030701</v>
      </c>
      <c r="D292" s="8" t="str">
        <f t="shared" si="167"/>
        <v>item_desc_1030701</v>
      </c>
      <c r="E292" s="8" t="str">
        <f t="shared" si="168"/>
        <v>item_1030701</v>
      </c>
      <c r="F292" s="8">
        <v>10307</v>
      </c>
      <c r="G292" s="8">
        <f t="shared" si="170"/>
        <v>1</v>
      </c>
      <c r="H292" s="8">
        <v>1</v>
      </c>
      <c r="J292" s="8">
        <f t="shared" si="171"/>
        <v>1030702</v>
      </c>
      <c r="K292" s="8">
        <v>5</v>
      </c>
      <c r="U292" s="8" t="s">
        <v>65</v>
      </c>
      <c r="V292" s="8" t="s">
        <v>458</v>
      </c>
    </row>
    <row r="293" s="8" customFormat="1" spans="1:22">
      <c r="A293" s="8">
        <v>1030702</v>
      </c>
      <c r="B293" s="8" t="s">
        <v>459</v>
      </c>
      <c r="C293" s="8" t="str">
        <f t="shared" si="169"/>
        <v>item_1030702</v>
      </c>
      <c r="D293" s="8" t="str">
        <f t="shared" si="167"/>
        <v>item_desc_1030702</v>
      </c>
      <c r="E293" s="8" t="str">
        <f t="shared" si="168"/>
        <v>item_1030702</v>
      </c>
      <c r="F293" s="8">
        <v>10307</v>
      </c>
      <c r="G293" s="8">
        <f t="shared" si="170"/>
        <v>2</v>
      </c>
      <c r="H293" s="8">
        <v>1</v>
      </c>
      <c r="J293" s="8">
        <f t="shared" si="171"/>
        <v>1030703</v>
      </c>
      <c r="K293" s="8">
        <v>5</v>
      </c>
      <c r="P293" s="8">
        <v>6</v>
      </c>
      <c r="S293" s="8" t="s">
        <v>361</v>
      </c>
      <c r="T293" s="8" t="s">
        <v>231</v>
      </c>
      <c r="U293" s="8" t="s">
        <v>65</v>
      </c>
      <c r="V293" s="8" t="s">
        <v>458</v>
      </c>
    </row>
    <row r="294" s="8" customFormat="1" spans="1:23">
      <c r="A294" s="8">
        <v>1030703</v>
      </c>
      <c r="B294" s="8" t="s">
        <v>460</v>
      </c>
      <c r="C294" s="8" t="str">
        <f t="shared" si="169"/>
        <v>item_1030703</v>
      </c>
      <c r="D294" s="8" t="str">
        <f t="shared" si="167"/>
        <v>item_desc_1030703</v>
      </c>
      <c r="E294" s="8" t="str">
        <f t="shared" si="168"/>
        <v>item_1030703</v>
      </c>
      <c r="F294" s="8">
        <v>10307</v>
      </c>
      <c r="G294" s="8">
        <f t="shared" si="170"/>
        <v>3</v>
      </c>
      <c r="H294" s="8">
        <v>1</v>
      </c>
      <c r="J294" s="8">
        <f t="shared" si="171"/>
        <v>1030704</v>
      </c>
      <c r="P294" s="8">
        <v>12</v>
      </c>
      <c r="S294" s="8" t="s">
        <v>385</v>
      </c>
      <c r="T294" s="8" t="s">
        <v>235</v>
      </c>
      <c r="U294" s="8" t="s">
        <v>65</v>
      </c>
      <c r="V294" s="8" t="s">
        <v>458</v>
      </c>
      <c r="W294" s="8">
        <v>1</v>
      </c>
    </row>
    <row r="295" s="8" customFormat="1" spans="1:23">
      <c r="A295" s="8">
        <v>1030704</v>
      </c>
      <c r="B295" s="8" t="s">
        <v>461</v>
      </c>
      <c r="C295" s="8" t="str">
        <f t="shared" si="169"/>
        <v>item_1030704</v>
      </c>
      <c r="D295" s="8" t="str">
        <f t="shared" si="167"/>
        <v>item_desc_1030704</v>
      </c>
      <c r="E295" s="8" t="str">
        <f t="shared" si="168"/>
        <v>item_1030704</v>
      </c>
      <c r="F295" s="8">
        <v>10307</v>
      </c>
      <c r="G295" s="8">
        <f t="shared" si="170"/>
        <v>4</v>
      </c>
      <c r="H295" s="8">
        <v>1</v>
      </c>
      <c r="J295" s="8">
        <f t="shared" si="171"/>
        <v>1030705</v>
      </c>
      <c r="P295" s="8">
        <v>21</v>
      </c>
      <c r="S295" s="8" t="s">
        <v>385</v>
      </c>
      <c r="T295" s="8" t="s">
        <v>462</v>
      </c>
      <c r="U295" s="8" t="s">
        <v>65</v>
      </c>
      <c r="V295" s="8" t="s">
        <v>458</v>
      </c>
      <c r="W295" s="8">
        <v>1</v>
      </c>
    </row>
    <row r="296" s="8" customFormat="1" spans="1:23">
      <c r="A296" s="8">
        <v>1030705</v>
      </c>
      <c r="B296" s="8" t="s">
        <v>463</v>
      </c>
      <c r="C296" s="8" t="str">
        <f t="shared" si="169"/>
        <v>item_1030705</v>
      </c>
      <c r="D296" s="8" t="str">
        <f t="shared" si="167"/>
        <v>item_desc_1030705</v>
      </c>
      <c r="E296" s="8" t="str">
        <f t="shared" si="168"/>
        <v>item_1030705</v>
      </c>
      <c r="F296" s="8">
        <v>10307</v>
      </c>
      <c r="G296" s="8">
        <f t="shared" si="170"/>
        <v>5</v>
      </c>
      <c r="H296" s="8">
        <v>1</v>
      </c>
      <c r="J296" s="8">
        <f t="shared" si="171"/>
        <v>1030706</v>
      </c>
      <c r="P296" s="8">
        <v>36</v>
      </c>
      <c r="S296" s="8" t="s">
        <v>385</v>
      </c>
      <c r="T296" s="8" t="s">
        <v>464</v>
      </c>
      <c r="U296" s="8" t="s">
        <v>65</v>
      </c>
      <c r="V296" s="8" t="s">
        <v>458</v>
      </c>
      <c r="W296" s="8">
        <v>1</v>
      </c>
    </row>
    <row r="297" s="8" customFormat="1" spans="1:23">
      <c r="A297" s="8">
        <v>1030706</v>
      </c>
      <c r="B297" s="8" t="s">
        <v>465</v>
      </c>
      <c r="C297" s="8" t="str">
        <f t="shared" si="169"/>
        <v>item_1030706</v>
      </c>
      <c r="D297" s="8" t="str">
        <f t="shared" si="167"/>
        <v>item_desc_1030706</v>
      </c>
      <c r="E297" s="8" t="str">
        <f t="shared" si="168"/>
        <v>item_1030706</v>
      </c>
      <c r="F297" s="8">
        <v>10307</v>
      </c>
      <c r="G297" s="8">
        <f t="shared" si="170"/>
        <v>6</v>
      </c>
      <c r="H297" s="8">
        <v>1</v>
      </c>
      <c r="J297" s="8">
        <f t="shared" si="171"/>
        <v>1030707</v>
      </c>
      <c r="L297" s="4">
        <v>1</v>
      </c>
      <c r="M297" s="8" t="s">
        <v>466</v>
      </c>
      <c r="P297" s="8">
        <v>54</v>
      </c>
      <c r="S297" s="8" t="s">
        <v>467</v>
      </c>
      <c r="T297" s="8" t="s">
        <v>466</v>
      </c>
      <c r="U297" s="8" t="s">
        <v>65</v>
      </c>
      <c r="V297" s="8" t="s">
        <v>458</v>
      </c>
      <c r="W297" s="8">
        <v>2</v>
      </c>
    </row>
    <row r="298" s="8" customFormat="1" spans="1:23">
      <c r="A298" s="8">
        <v>1030707</v>
      </c>
      <c r="B298" s="8" t="s">
        <v>468</v>
      </c>
      <c r="C298" s="8" t="str">
        <f t="shared" si="169"/>
        <v>item_1030707</v>
      </c>
      <c r="D298" s="8" t="str">
        <f t="shared" si="167"/>
        <v>item_desc_1030707</v>
      </c>
      <c r="E298" s="8" t="str">
        <f t="shared" si="168"/>
        <v>item_1030707</v>
      </c>
      <c r="F298" s="8">
        <v>10307</v>
      </c>
      <c r="G298" s="8">
        <f t="shared" si="170"/>
        <v>7</v>
      </c>
      <c r="H298" s="8">
        <v>1</v>
      </c>
      <c r="J298" s="8">
        <f t="shared" si="171"/>
        <v>1030708</v>
      </c>
      <c r="L298" s="4">
        <v>1</v>
      </c>
      <c r="M298" s="8" t="s">
        <v>469</v>
      </c>
      <c r="P298" s="8">
        <v>84</v>
      </c>
      <c r="S298" s="8" t="s">
        <v>230</v>
      </c>
      <c r="T298" s="8" t="s">
        <v>469</v>
      </c>
      <c r="U298" s="8" t="s">
        <v>65</v>
      </c>
      <c r="V298" s="8" t="s">
        <v>458</v>
      </c>
      <c r="W298" s="8">
        <v>2</v>
      </c>
    </row>
    <row r="299" s="8" customFormat="1" spans="1:23">
      <c r="A299" s="8">
        <v>1030708</v>
      </c>
      <c r="B299" s="8" t="s">
        <v>470</v>
      </c>
      <c r="C299" s="8" t="str">
        <f t="shared" si="169"/>
        <v>item_1030708</v>
      </c>
      <c r="D299" s="8" t="str">
        <f t="shared" si="167"/>
        <v>item_desc_1030708</v>
      </c>
      <c r="E299" s="8" t="str">
        <f t="shared" si="168"/>
        <v>item_1030708</v>
      </c>
      <c r="F299" s="8">
        <v>10307</v>
      </c>
      <c r="G299" s="8">
        <f t="shared" si="170"/>
        <v>8</v>
      </c>
      <c r="H299" s="8">
        <v>1</v>
      </c>
      <c r="J299" s="8">
        <f t="shared" si="171"/>
        <v>1030709</v>
      </c>
      <c r="L299" s="4">
        <v>1</v>
      </c>
      <c r="M299" s="8" t="s">
        <v>471</v>
      </c>
      <c r="P299" s="8">
        <v>132</v>
      </c>
      <c r="Q299" s="8" t="s">
        <v>367</v>
      </c>
      <c r="S299" s="8" t="s">
        <v>230</v>
      </c>
      <c r="T299" s="8" t="s">
        <v>471</v>
      </c>
      <c r="U299" s="8" t="s">
        <v>65</v>
      </c>
      <c r="V299" s="8" t="s">
        <v>458</v>
      </c>
      <c r="W299" s="8">
        <v>2</v>
      </c>
    </row>
    <row r="300" s="8" customFormat="1" spans="1:23">
      <c r="A300" s="8">
        <v>1030709</v>
      </c>
      <c r="B300" s="8" t="s">
        <v>472</v>
      </c>
      <c r="C300" s="8" t="str">
        <f t="shared" si="169"/>
        <v>item_1030709</v>
      </c>
      <c r="D300" s="8" t="str">
        <f t="shared" si="167"/>
        <v>item_desc_1030709</v>
      </c>
      <c r="E300" s="8" t="str">
        <f t="shared" si="168"/>
        <v>item_1030709</v>
      </c>
      <c r="F300" s="8">
        <v>10307</v>
      </c>
      <c r="G300" s="8">
        <f t="shared" si="170"/>
        <v>9</v>
      </c>
      <c r="H300" s="8">
        <v>1</v>
      </c>
      <c r="L300" s="4">
        <v>1</v>
      </c>
      <c r="M300" s="8" t="s">
        <v>473</v>
      </c>
      <c r="P300" s="8">
        <v>198</v>
      </c>
      <c r="Q300" s="8" t="s">
        <v>367</v>
      </c>
      <c r="S300" s="8" t="s">
        <v>76</v>
      </c>
      <c r="T300" s="8" t="s">
        <v>473</v>
      </c>
      <c r="U300" s="8" t="s">
        <v>65</v>
      </c>
      <c r="V300" s="8" t="s">
        <v>458</v>
      </c>
      <c r="W300" s="8">
        <v>2</v>
      </c>
    </row>
    <row r="301" s="9" customFormat="1" spans="1:23">
      <c r="A301" s="9">
        <v>1030710</v>
      </c>
      <c r="B301" s="9" t="s">
        <v>474</v>
      </c>
      <c r="C301" s="9" t="str">
        <f t="shared" si="169"/>
        <v>item_1030710</v>
      </c>
      <c r="D301" s="9" t="str">
        <f t="shared" si="167"/>
        <v>item_desc_1030710</v>
      </c>
      <c r="E301" s="9" t="str">
        <f t="shared" si="168"/>
        <v>item_1030710</v>
      </c>
      <c r="H301" s="9">
        <v>1</v>
      </c>
      <c r="J301" s="9" t="str">
        <f t="shared" si="171"/>
        <v/>
      </c>
      <c r="P301" s="9">
        <v>303</v>
      </c>
      <c r="Q301" s="9" t="s">
        <v>367</v>
      </c>
      <c r="S301" s="9" t="s">
        <v>76</v>
      </c>
      <c r="T301" s="9" t="s">
        <v>475</v>
      </c>
      <c r="U301" s="9" t="s">
        <v>65</v>
      </c>
      <c r="V301" s="9" t="s">
        <v>458</v>
      </c>
      <c r="W301" s="9">
        <v>2</v>
      </c>
    </row>
    <row r="302" s="7" customFormat="1" spans="1:11">
      <c r="A302" s="24">
        <v>1040701</v>
      </c>
      <c r="B302" s="7" t="s">
        <v>476</v>
      </c>
      <c r="C302" s="7" t="str">
        <f t="shared" si="169"/>
        <v>item_1040701</v>
      </c>
      <c r="D302" s="7" t="str">
        <f t="shared" si="167"/>
        <v>item_desc_1040701</v>
      </c>
      <c r="E302" s="7" t="str">
        <f t="shared" si="168"/>
        <v>item_1040701</v>
      </c>
      <c r="F302" s="7">
        <v>10407</v>
      </c>
      <c r="G302" s="7">
        <f t="shared" si="170"/>
        <v>1</v>
      </c>
      <c r="H302" s="7">
        <v>1</v>
      </c>
      <c r="J302" s="7">
        <f t="shared" si="171"/>
        <v>1040702</v>
      </c>
      <c r="K302" s="7">
        <v>6</v>
      </c>
    </row>
    <row r="303" s="8" customFormat="1" spans="1:11">
      <c r="A303" s="25">
        <v>1040702</v>
      </c>
      <c r="B303" s="8" t="s">
        <v>477</v>
      </c>
      <c r="C303" s="8" t="str">
        <f t="shared" si="169"/>
        <v>item_1040702</v>
      </c>
      <c r="D303" s="8" t="str">
        <f t="shared" si="167"/>
        <v>item_desc_1040702</v>
      </c>
      <c r="E303" s="8" t="str">
        <f t="shared" si="168"/>
        <v>item_1040702</v>
      </c>
      <c r="F303" s="8">
        <v>10407</v>
      </c>
      <c r="G303" s="8">
        <f t="shared" si="170"/>
        <v>2</v>
      </c>
      <c r="H303" s="8">
        <v>1</v>
      </c>
      <c r="J303" s="8">
        <f t="shared" si="171"/>
        <v>1040703</v>
      </c>
      <c r="K303" s="8">
        <v>6</v>
      </c>
    </row>
    <row r="304" s="8" customFormat="1" spans="1:23">
      <c r="A304" s="25">
        <v>1040703</v>
      </c>
      <c r="B304" s="8" t="s">
        <v>478</v>
      </c>
      <c r="C304" s="8" t="str">
        <f t="shared" si="169"/>
        <v>item_1040703</v>
      </c>
      <c r="D304" s="8" t="str">
        <f t="shared" si="167"/>
        <v>item_desc_1040703</v>
      </c>
      <c r="E304" s="8" t="str">
        <f t="shared" si="168"/>
        <v>item_1040703</v>
      </c>
      <c r="F304" s="8">
        <v>10407</v>
      </c>
      <c r="G304" s="8">
        <f t="shared" si="170"/>
        <v>3</v>
      </c>
      <c r="H304" s="8">
        <v>1</v>
      </c>
      <c r="J304" s="8">
        <f t="shared" si="171"/>
        <v>1040704</v>
      </c>
      <c r="W304" s="8">
        <v>1</v>
      </c>
    </row>
    <row r="305" s="8" customFormat="1" spans="1:23">
      <c r="A305" s="25">
        <v>1040704</v>
      </c>
      <c r="B305" s="8" t="s">
        <v>479</v>
      </c>
      <c r="C305" s="8" t="str">
        <f t="shared" si="169"/>
        <v>item_1040704</v>
      </c>
      <c r="D305" s="8" t="str">
        <f t="shared" si="167"/>
        <v>item_desc_1040704</v>
      </c>
      <c r="E305" s="8" t="str">
        <f t="shared" si="168"/>
        <v>item_1040704</v>
      </c>
      <c r="F305" s="8">
        <v>10407</v>
      </c>
      <c r="G305" s="8">
        <f t="shared" si="170"/>
        <v>4</v>
      </c>
      <c r="H305" s="8">
        <v>1</v>
      </c>
      <c r="J305" s="8">
        <f t="shared" si="171"/>
        <v>1040705</v>
      </c>
      <c r="W305" s="8">
        <v>1</v>
      </c>
    </row>
    <row r="306" s="8" customFormat="1" spans="1:23">
      <c r="A306" s="25">
        <v>1040705</v>
      </c>
      <c r="B306" s="8" t="s">
        <v>480</v>
      </c>
      <c r="C306" s="8" t="str">
        <f t="shared" si="169"/>
        <v>item_1040705</v>
      </c>
      <c r="D306" s="8" t="str">
        <f t="shared" si="167"/>
        <v>item_desc_1040705</v>
      </c>
      <c r="E306" s="8" t="str">
        <f t="shared" si="168"/>
        <v>item_1040705</v>
      </c>
      <c r="F306" s="8">
        <v>10407</v>
      </c>
      <c r="G306" s="8">
        <f t="shared" si="170"/>
        <v>5</v>
      </c>
      <c r="H306" s="8">
        <v>2</v>
      </c>
      <c r="J306" s="8">
        <f t="shared" si="171"/>
        <v>1040706</v>
      </c>
      <c r="W306" s="8">
        <v>2</v>
      </c>
    </row>
    <row r="307" s="8" customFormat="1" spans="1:23">
      <c r="A307" s="25">
        <v>1040706</v>
      </c>
      <c r="B307" s="8" t="s">
        <v>481</v>
      </c>
      <c r="C307" s="8" t="str">
        <f t="shared" si="169"/>
        <v>item_1040706</v>
      </c>
      <c r="D307" s="8" t="str">
        <f t="shared" si="167"/>
        <v>item_desc_1040706</v>
      </c>
      <c r="E307" s="8" t="str">
        <f t="shared" si="168"/>
        <v>item_1040706</v>
      </c>
      <c r="F307" s="8">
        <v>10407</v>
      </c>
      <c r="G307" s="8">
        <f t="shared" si="170"/>
        <v>6</v>
      </c>
      <c r="H307" s="8">
        <v>2</v>
      </c>
      <c r="J307" s="8">
        <f t="shared" si="171"/>
        <v>1040707</v>
      </c>
      <c r="W307" s="8">
        <v>2</v>
      </c>
    </row>
    <row r="308" s="8" customFormat="1" spans="1:23">
      <c r="A308" s="25">
        <v>1040707</v>
      </c>
      <c r="B308" s="8" t="s">
        <v>482</v>
      </c>
      <c r="C308" s="8" t="str">
        <f t="shared" si="169"/>
        <v>item_1040707</v>
      </c>
      <c r="D308" s="8" t="str">
        <f t="shared" si="167"/>
        <v>item_desc_1040707</v>
      </c>
      <c r="E308" s="8" t="str">
        <f t="shared" si="168"/>
        <v>item_1040707</v>
      </c>
      <c r="F308" s="8">
        <v>10407</v>
      </c>
      <c r="G308" s="8">
        <f t="shared" si="170"/>
        <v>7</v>
      </c>
      <c r="H308" s="8">
        <v>2</v>
      </c>
      <c r="J308" s="8">
        <f t="shared" si="171"/>
        <v>1040708</v>
      </c>
      <c r="W308" s="8">
        <v>2</v>
      </c>
    </row>
    <row r="309" s="8" customFormat="1" spans="1:23">
      <c r="A309" s="25">
        <v>1040708</v>
      </c>
      <c r="B309" s="8" t="s">
        <v>483</v>
      </c>
      <c r="C309" s="8" t="str">
        <f t="shared" si="169"/>
        <v>item_1040708</v>
      </c>
      <c r="D309" s="8" t="str">
        <f t="shared" si="167"/>
        <v>item_desc_1040708</v>
      </c>
      <c r="E309" s="8" t="str">
        <f t="shared" si="168"/>
        <v>item_1040708</v>
      </c>
      <c r="F309" s="8">
        <v>10407</v>
      </c>
      <c r="G309" s="8">
        <f t="shared" si="170"/>
        <v>8</v>
      </c>
      <c r="H309" s="8">
        <v>2</v>
      </c>
      <c r="J309" s="8">
        <f t="shared" si="171"/>
        <v>1040709</v>
      </c>
      <c r="W309" s="8">
        <v>2</v>
      </c>
    </row>
    <row r="310" s="8" customFormat="1" spans="1:23">
      <c r="A310" s="25">
        <v>1040709</v>
      </c>
      <c r="B310" s="8" t="s">
        <v>484</v>
      </c>
      <c r="C310" s="8" t="str">
        <f t="shared" si="169"/>
        <v>item_1040709</v>
      </c>
      <c r="D310" s="8" t="str">
        <f t="shared" si="167"/>
        <v>item_desc_1040709</v>
      </c>
      <c r="E310" s="8" t="str">
        <f t="shared" si="168"/>
        <v>item_1040709</v>
      </c>
      <c r="F310" s="8">
        <v>10407</v>
      </c>
      <c r="G310" s="8">
        <f t="shared" si="170"/>
        <v>9</v>
      </c>
      <c r="H310" s="8">
        <v>2</v>
      </c>
      <c r="W310" s="8">
        <v>2</v>
      </c>
    </row>
    <row r="311" s="9" customFormat="1" spans="1:23">
      <c r="A311" s="26">
        <v>1040710</v>
      </c>
      <c r="B311" s="9" t="s">
        <v>485</v>
      </c>
      <c r="C311" s="9" t="str">
        <f t="shared" si="169"/>
        <v>item_1040710</v>
      </c>
      <c r="D311" s="9" t="str">
        <f t="shared" si="167"/>
        <v>item_desc_1040710</v>
      </c>
      <c r="E311" s="9" t="str">
        <f t="shared" si="168"/>
        <v>item_1040710</v>
      </c>
      <c r="H311" s="9">
        <v>2</v>
      </c>
      <c r="J311" s="9" t="str">
        <f t="shared" si="171"/>
        <v/>
      </c>
      <c r="W311" s="9">
        <v>2</v>
      </c>
    </row>
    <row r="312" s="8" customFormat="1" spans="1:11">
      <c r="A312" s="25">
        <v>1030901</v>
      </c>
      <c r="B312" s="8" t="s">
        <v>486</v>
      </c>
      <c r="C312" s="8" t="str">
        <f t="shared" si="169"/>
        <v>item_1030901</v>
      </c>
      <c r="D312" s="8" t="str">
        <f t="shared" si="167"/>
        <v>item_desc_1030901</v>
      </c>
      <c r="E312" s="8" t="str">
        <f t="shared" si="168"/>
        <v>item_1030901</v>
      </c>
      <c r="F312" s="8">
        <v>10309</v>
      </c>
      <c r="G312" s="8">
        <f t="shared" si="170"/>
        <v>1</v>
      </c>
      <c r="H312" s="8">
        <v>1</v>
      </c>
      <c r="J312" s="8">
        <f t="shared" si="171"/>
        <v>1030902</v>
      </c>
      <c r="K312" s="8">
        <v>5</v>
      </c>
    </row>
    <row r="313" s="8" customFormat="1" spans="1:16">
      <c r="A313" s="25">
        <v>1030902</v>
      </c>
      <c r="B313" s="8" t="s">
        <v>487</v>
      </c>
      <c r="C313" s="8" t="str">
        <f t="shared" si="169"/>
        <v>item_1030902</v>
      </c>
      <c r="D313" s="8" t="str">
        <f t="shared" si="167"/>
        <v>item_desc_1030902</v>
      </c>
      <c r="E313" s="8" t="str">
        <f t="shared" si="168"/>
        <v>item_1030902</v>
      </c>
      <c r="F313" s="8">
        <v>10309</v>
      </c>
      <c r="G313" s="8">
        <f t="shared" si="170"/>
        <v>2</v>
      </c>
      <c r="H313" s="8">
        <v>1</v>
      </c>
      <c r="J313" s="8">
        <f t="shared" si="171"/>
        <v>1030903</v>
      </c>
      <c r="K313" s="8">
        <v>5</v>
      </c>
      <c r="P313" s="8">
        <v>6</v>
      </c>
    </row>
    <row r="314" s="8" customFormat="1" spans="1:23">
      <c r="A314" s="25">
        <v>1030903</v>
      </c>
      <c r="B314" s="8" t="s">
        <v>488</v>
      </c>
      <c r="C314" s="8" t="str">
        <f t="shared" si="169"/>
        <v>item_1030903</v>
      </c>
      <c r="D314" s="8" t="str">
        <f t="shared" si="167"/>
        <v>item_desc_1030903</v>
      </c>
      <c r="E314" s="8" t="str">
        <f t="shared" si="168"/>
        <v>item_1030903</v>
      </c>
      <c r="F314" s="8">
        <v>10309</v>
      </c>
      <c r="G314" s="8">
        <f t="shared" si="170"/>
        <v>3</v>
      </c>
      <c r="H314" s="8">
        <v>1</v>
      </c>
      <c r="J314" s="8">
        <f t="shared" si="171"/>
        <v>1030904</v>
      </c>
      <c r="K314" s="8">
        <v>5</v>
      </c>
      <c r="P314" s="8">
        <v>12</v>
      </c>
      <c r="S314" s="8" t="s">
        <v>361</v>
      </c>
      <c r="T314" s="8" t="s">
        <v>63</v>
      </c>
      <c r="U314" s="8" t="s">
        <v>65</v>
      </c>
      <c r="V314" s="8" t="s">
        <v>489</v>
      </c>
      <c r="W314" s="8">
        <v>1</v>
      </c>
    </row>
    <row r="315" s="8" customFormat="1" spans="1:23">
      <c r="A315" s="25">
        <v>1030904</v>
      </c>
      <c r="B315" s="8" t="s">
        <v>490</v>
      </c>
      <c r="C315" s="8" t="str">
        <f t="shared" si="169"/>
        <v>item_1030904</v>
      </c>
      <c r="D315" s="8" t="str">
        <f t="shared" si="167"/>
        <v>item_desc_1030904</v>
      </c>
      <c r="E315" s="8" t="str">
        <f t="shared" si="168"/>
        <v>item_1030904</v>
      </c>
      <c r="F315" s="8">
        <v>10309</v>
      </c>
      <c r="G315" s="8">
        <f t="shared" si="170"/>
        <v>4</v>
      </c>
      <c r="H315" s="8">
        <v>1</v>
      </c>
      <c r="J315" s="8">
        <f t="shared" si="171"/>
        <v>1030905</v>
      </c>
      <c r="P315" s="8">
        <v>21</v>
      </c>
      <c r="S315" s="8" t="s">
        <v>385</v>
      </c>
      <c r="T315" s="8" t="s">
        <v>166</v>
      </c>
      <c r="U315" s="8" t="s">
        <v>65</v>
      </c>
      <c r="V315" s="8" t="s">
        <v>489</v>
      </c>
      <c r="W315" s="8">
        <v>1</v>
      </c>
    </row>
    <row r="316" s="8" customFormat="1" spans="1:23">
      <c r="A316" s="25">
        <v>1030905</v>
      </c>
      <c r="B316" s="8" t="s">
        <v>491</v>
      </c>
      <c r="C316" s="8" t="str">
        <f t="shared" si="169"/>
        <v>item_1030905</v>
      </c>
      <c r="D316" s="8" t="str">
        <f t="shared" si="167"/>
        <v>item_desc_1030905</v>
      </c>
      <c r="E316" s="8" t="str">
        <f t="shared" si="168"/>
        <v>item_1030905</v>
      </c>
      <c r="F316" s="8">
        <v>10309</v>
      </c>
      <c r="G316" s="8">
        <f t="shared" si="170"/>
        <v>5</v>
      </c>
      <c r="H316" s="8">
        <v>1</v>
      </c>
      <c r="J316" s="8">
        <f t="shared" si="171"/>
        <v>1030906</v>
      </c>
      <c r="P316" s="8">
        <v>36</v>
      </c>
      <c r="S316" s="8" t="s">
        <v>385</v>
      </c>
      <c r="T316" s="8" t="s">
        <v>202</v>
      </c>
      <c r="U316" s="8" t="s">
        <v>65</v>
      </c>
      <c r="V316" s="8" t="s">
        <v>489</v>
      </c>
      <c r="W316" s="8">
        <v>1</v>
      </c>
    </row>
    <row r="317" s="8" customFormat="1" spans="1:23">
      <c r="A317" s="25">
        <v>1030906</v>
      </c>
      <c r="B317" s="8" t="s">
        <v>492</v>
      </c>
      <c r="C317" s="8" t="str">
        <f t="shared" si="169"/>
        <v>item_1030906</v>
      </c>
      <c r="D317" s="8" t="str">
        <f t="shared" si="167"/>
        <v>item_desc_1030906</v>
      </c>
      <c r="E317" s="8" t="str">
        <f t="shared" si="168"/>
        <v>item_1030906</v>
      </c>
      <c r="F317" s="8">
        <v>10309</v>
      </c>
      <c r="G317" s="8">
        <f t="shared" si="170"/>
        <v>6</v>
      </c>
      <c r="H317" s="8">
        <v>1</v>
      </c>
      <c r="J317" s="8">
        <f t="shared" si="171"/>
        <v>1030907</v>
      </c>
      <c r="L317" s="4">
        <v>1</v>
      </c>
      <c r="M317" s="8" t="s">
        <v>388</v>
      </c>
      <c r="P317" s="8">
        <v>54</v>
      </c>
      <c r="S317" s="8" t="s">
        <v>230</v>
      </c>
      <c r="T317" s="8" t="s">
        <v>388</v>
      </c>
      <c r="U317" s="8" t="s">
        <v>65</v>
      </c>
      <c r="V317" s="8" t="s">
        <v>489</v>
      </c>
      <c r="W317" s="8">
        <v>2</v>
      </c>
    </row>
    <row r="318" s="8" customFormat="1" spans="1:23">
      <c r="A318" s="25">
        <v>1030907</v>
      </c>
      <c r="B318" s="8" t="s">
        <v>493</v>
      </c>
      <c r="C318" s="8" t="str">
        <f t="shared" si="169"/>
        <v>item_1030907</v>
      </c>
      <c r="D318" s="8" t="str">
        <f t="shared" si="167"/>
        <v>item_desc_1030907</v>
      </c>
      <c r="E318" s="8" t="str">
        <f t="shared" si="168"/>
        <v>item_1030907</v>
      </c>
      <c r="F318" s="8">
        <v>10309</v>
      </c>
      <c r="G318" s="8">
        <f t="shared" si="170"/>
        <v>7</v>
      </c>
      <c r="H318" s="8">
        <v>1</v>
      </c>
      <c r="J318" s="8">
        <f t="shared" si="171"/>
        <v>1030908</v>
      </c>
      <c r="L318" s="4">
        <v>1</v>
      </c>
      <c r="M318" s="8" t="s">
        <v>494</v>
      </c>
      <c r="P318" s="8">
        <v>84</v>
      </c>
      <c r="S318" s="8" t="s">
        <v>230</v>
      </c>
      <c r="T318" s="8" t="s">
        <v>494</v>
      </c>
      <c r="U318" s="8" t="s">
        <v>65</v>
      </c>
      <c r="V318" s="8" t="s">
        <v>489</v>
      </c>
      <c r="W318" s="8">
        <v>2</v>
      </c>
    </row>
    <row r="319" s="8" customFormat="1" spans="1:23">
      <c r="A319" s="25">
        <v>1030908</v>
      </c>
      <c r="B319" s="8" t="s">
        <v>495</v>
      </c>
      <c r="C319" s="8" t="str">
        <f t="shared" si="169"/>
        <v>item_1030908</v>
      </c>
      <c r="D319" s="8" t="str">
        <f t="shared" si="167"/>
        <v>item_desc_1030908</v>
      </c>
      <c r="E319" s="8" t="str">
        <f t="shared" si="168"/>
        <v>item_1030908</v>
      </c>
      <c r="F319" s="8">
        <v>10309</v>
      </c>
      <c r="G319" s="8">
        <f t="shared" si="170"/>
        <v>8</v>
      </c>
      <c r="H319" s="8">
        <v>1</v>
      </c>
      <c r="J319" s="8">
        <f t="shared" si="171"/>
        <v>1030909</v>
      </c>
      <c r="L319" s="4">
        <v>1</v>
      </c>
      <c r="M319" s="8" t="s">
        <v>496</v>
      </c>
      <c r="P319" s="8">
        <v>132</v>
      </c>
      <c r="Q319" s="8" t="s">
        <v>367</v>
      </c>
      <c r="S319" s="8" t="s">
        <v>230</v>
      </c>
      <c r="T319" s="8" t="s">
        <v>496</v>
      </c>
      <c r="U319" s="8" t="s">
        <v>65</v>
      </c>
      <c r="V319" s="8" t="s">
        <v>489</v>
      </c>
      <c r="W319" s="8">
        <v>2</v>
      </c>
    </row>
    <row r="320" s="8" customFormat="1" spans="1:23">
      <c r="A320" s="25">
        <v>1030909</v>
      </c>
      <c r="B320" s="8" t="s">
        <v>497</v>
      </c>
      <c r="C320" s="8" t="str">
        <f t="shared" si="169"/>
        <v>item_1030909</v>
      </c>
      <c r="D320" s="8" t="str">
        <f t="shared" si="167"/>
        <v>item_desc_1030909</v>
      </c>
      <c r="E320" s="8" t="str">
        <f t="shared" si="168"/>
        <v>item_1030909</v>
      </c>
      <c r="F320" s="8">
        <v>10309</v>
      </c>
      <c r="G320" s="8">
        <f t="shared" si="170"/>
        <v>9</v>
      </c>
      <c r="H320" s="8">
        <v>1</v>
      </c>
      <c r="L320" s="4">
        <v>1</v>
      </c>
      <c r="M320" s="8" t="s">
        <v>498</v>
      </c>
      <c r="P320" s="8">
        <v>198</v>
      </c>
      <c r="Q320" s="8" t="s">
        <v>367</v>
      </c>
      <c r="S320" s="8" t="s">
        <v>76</v>
      </c>
      <c r="T320" s="8" t="s">
        <v>498</v>
      </c>
      <c r="U320" s="8" t="s">
        <v>65</v>
      </c>
      <c r="V320" s="8" t="s">
        <v>489</v>
      </c>
      <c r="W320" s="8">
        <v>2</v>
      </c>
    </row>
    <row r="321" s="9" customFormat="1" spans="1:23">
      <c r="A321" s="26">
        <v>1030910</v>
      </c>
      <c r="B321" s="9" t="s">
        <v>499</v>
      </c>
      <c r="C321" s="9" t="str">
        <f t="shared" si="169"/>
        <v>item_1030910</v>
      </c>
      <c r="D321" s="9" t="str">
        <f t="shared" si="167"/>
        <v>item_desc_1030910</v>
      </c>
      <c r="E321" s="9" t="str">
        <f t="shared" si="168"/>
        <v>item_1030910</v>
      </c>
      <c r="H321" s="9">
        <v>1</v>
      </c>
      <c r="J321" s="9" t="str">
        <f t="shared" si="171"/>
        <v/>
      </c>
      <c r="P321" s="9">
        <v>303</v>
      </c>
      <c r="Q321" s="9" t="s">
        <v>367</v>
      </c>
      <c r="S321" s="9" t="s">
        <v>76</v>
      </c>
      <c r="T321" s="9" t="s">
        <v>245</v>
      </c>
      <c r="U321" s="9" t="s">
        <v>65</v>
      </c>
      <c r="V321" s="9" t="s">
        <v>489</v>
      </c>
      <c r="W321" s="9">
        <v>2</v>
      </c>
    </row>
    <row r="322" s="8" customFormat="1" spans="1:22">
      <c r="A322" s="25">
        <v>1031001</v>
      </c>
      <c r="B322" s="8" t="s">
        <v>500</v>
      </c>
      <c r="C322" s="8" t="str">
        <f t="shared" si="169"/>
        <v>item_1031001</v>
      </c>
      <c r="D322" s="8" t="str">
        <f t="shared" si="167"/>
        <v>item_desc_1031001</v>
      </c>
      <c r="E322" s="8" t="str">
        <f t="shared" si="168"/>
        <v>item_1031001</v>
      </c>
      <c r="F322" s="8">
        <v>10310</v>
      </c>
      <c r="G322" s="8">
        <f t="shared" si="170"/>
        <v>1</v>
      </c>
      <c r="H322" s="8">
        <v>1</v>
      </c>
      <c r="J322" s="8">
        <f t="shared" si="171"/>
        <v>1031002</v>
      </c>
      <c r="K322" s="8">
        <v>4</v>
      </c>
      <c r="U322" s="8" t="s">
        <v>65</v>
      </c>
      <c r="V322" s="8" t="s">
        <v>489</v>
      </c>
    </row>
    <row r="323" s="8" customFormat="1" spans="1:22">
      <c r="A323" s="25">
        <v>1031002</v>
      </c>
      <c r="B323" s="8" t="s">
        <v>501</v>
      </c>
      <c r="C323" s="8" t="str">
        <f t="shared" si="169"/>
        <v>item_1031002</v>
      </c>
      <c r="D323" s="8" t="str">
        <f t="shared" si="167"/>
        <v>item_desc_1031002</v>
      </c>
      <c r="E323" s="8" t="str">
        <f t="shared" si="168"/>
        <v>item_1031002</v>
      </c>
      <c r="F323" s="8">
        <v>10310</v>
      </c>
      <c r="G323" s="8">
        <f t="shared" si="170"/>
        <v>2</v>
      </c>
      <c r="H323" s="8">
        <v>1</v>
      </c>
      <c r="J323" s="8">
        <f t="shared" si="171"/>
        <v>1031003</v>
      </c>
      <c r="K323" s="8">
        <v>5</v>
      </c>
      <c r="P323" s="8">
        <v>9</v>
      </c>
      <c r="S323" s="8" t="s">
        <v>385</v>
      </c>
      <c r="T323" s="8" t="s">
        <v>168</v>
      </c>
      <c r="U323" s="8" t="s">
        <v>65</v>
      </c>
      <c r="V323" s="8" t="s">
        <v>489</v>
      </c>
    </row>
    <row r="324" s="8" customFormat="1" spans="1:23">
      <c r="A324" s="25">
        <v>1031003</v>
      </c>
      <c r="B324" s="8" t="s">
        <v>502</v>
      </c>
      <c r="C324" s="8" t="str">
        <f t="shared" si="169"/>
        <v>item_1031003</v>
      </c>
      <c r="D324" s="8" t="str">
        <f t="shared" si="167"/>
        <v>item_desc_1031003</v>
      </c>
      <c r="E324" s="8" t="str">
        <f t="shared" si="168"/>
        <v>item_1031003</v>
      </c>
      <c r="F324" s="8">
        <v>10310</v>
      </c>
      <c r="G324" s="8">
        <f t="shared" si="170"/>
        <v>3</v>
      </c>
      <c r="H324" s="8">
        <v>1</v>
      </c>
      <c r="J324" s="8">
        <f t="shared" si="171"/>
        <v>1031004</v>
      </c>
      <c r="K324" s="8">
        <v>6</v>
      </c>
      <c r="P324" s="8">
        <v>18</v>
      </c>
      <c r="S324" s="8" t="s">
        <v>385</v>
      </c>
      <c r="T324" s="8" t="s">
        <v>204</v>
      </c>
      <c r="U324" s="8" t="s">
        <v>65</v>
      </c>
      <c r="V324" s="8" t="s">
        <v>489</v>
      </c>
      <c r="W324" s="8">
        <v>1</v>
      </c>
    </row>
    <row r="325" s="8" customFormat="1" spans="1:23">
      <c r="A325" s="25">
        <v>1031004</v>
      </c>
      <c r="B325" s="8" t="s">
        <v>503</v>
      </c>
      <c r="C325" s="8" t="str">
        <f t="shared" si="169"/>
        <v>item_1031004</v>
      </c>
      <c r="D325" s="8" t="str">
        <f t="shared" si="167"/>
        <v>item_desc_1031004</v>
      </c>
      <c r="E325" s="8" t="str">
        <f t="shared" si="168"/>
        <v>item_1031004</v>
      </c>
      <c r="F325" s="8">
        <v>10310</v>
      </c>
      <c r="G325" s="8">
        <f t="shared" si="170"/>
        <v>4</v>
      </c>
      <c r="H325" s="8">
        <v>1</v>
      </c>
      <c r="J325" s="8">
        <f t="shared" si="171"/>
        <v>1031005</v>
      </c>
      <c r="K325" s="8">
        <v>6</v>
      </c>
      <c r="L325" s="4">
        <v>1</v>
      </c>
      <c r="M325" s="8" t="s">
        <v>504</v>
      </c>
      <c r="P325" s="8">
        <v>33</v>
      </c>
      <c r="S325" s="8" t="s">
        <v>230</v>
      </c>
      <c r="T325" s="8" t="s">
        <v>504</v>
      </c>
      <c r="U325" s="8" t="s">
        <v>65</v>
      </c>
      <c r="V325" s="8" t="s">
        <v>489</v>
      </c>
      <c r="W325" s="8">
        <v>1</v>
      </c>
    </row>
    <row r="326" s="8" customFormat="1" spans="1:23">
      <c r="A326" s="25">
        <v>1031005</v>
      </c>
      <c r="B326" s="8" t="s">
        <v>505</v>
      </c>
      <c r="C326" s="8" t="str">
        <f t="shared" si="169"/>
        <v>item_1031005</v>
      </c>
      <c r="D326" s="8" t="str">
        <f t="shared" si="167"/>
        <v>item_desc_1031005</v>
      </c>
      <c r="E326" s="8" t="str">
        <f t="shared" si="168"/>
        <v>item_1031005</v>
      </c>
      <c r="F326" s="8">
        <v>10310</v>
      </c>
      <c r="G326" s="8">
        <f t="shared" si="170"/>
        <v>5</v>
      </c>
      <c r="H326" s="8">
        <v>1</v>
      </c>
      <c r="J326" s="8">
        <f t="shared" si="171"/>
        <v>1031006</v>
      </c>
      <c r="K326" s="8">
        <v>6</v>
      </c>
      <c r="L326" s="4">
        <v>1</v>
      </c>
      <c r="M326" s="8" t="s">
        <v>506</v>
      </c>
      <c r="P326" s="8">
        <v>51</v>
      </c>
      <c r="S326" s="8" t="s">
        <v>230</v>
      </c>
      <c r="T326" s="8" t="s">
        <v>506</v>
      </c>
      <c r="U326" s="8" t="s">
        <v>65</v>
      </c>
      <c r="V326" s="8" t="s">
        <v>489</v>
      </c>
      <c r="W326" s="8">
        <v>2</v>
      </c>
    </row>
    <row r="327" s="8" customFormat="1" spans="1:23">
      <c r="A327" s="25">
        <v>1031006</v>
      </c>
      <c r="B327" s="8" t="s">
        <v>507</v>
      </c>
      <c r="C327" s="8" t="str">
        <f t="shared" si="169"/>
        <v>item_1031006</v>
      </c>
      <c r="D327" s="8" t="str">
        <f t="shared" si="167"/>
        <v>item_desc_1031006</v>
      </c>
      <c r="E327" s="8" t="str">
        <f t="shared" si="168"/>
        <v>item_1031006</v>
      </c>
      <c r="F327" s="8">
        <v>10310</v>
      </c>
      <c r="G327" s="8">
        <f t="shared" si="170"/>
        <v>6</v>
      </c>
      <c r="H327" s="8">
        <v>1</v>
      </c>
      <c r="K327" s="8">
        <v>6</v>
      </c>
      <c r="L327" s="4">
        <v>1</v>
      </c>
      <c r="M327" s="8" t="s">
        <v>508</v>
      </c>
      <c r="P327" s="8">
        <v>81</v>
      </c>
      <c r="S327" s="8" t="s">
        <v>76</v>
      </c>
      <c r="T327" s="8" t="s">
        <v>508</v>
      </c>
      <c r="U327" s="8" t="s">
        <v>65</v>
      </c>
      <c r="V327" s="8" t="s">
        <v>489</v>
      </c>
      <c r="W327" s="8">
        <v>2</v>
      </c>
    </row>
    <row r="328" s="11" customFormat="1" spans="1:23">
      <c r="A328" s="31">
        <v>1031007</v>
      </c>
      <c r="B328" s="11" t="s">
        <v>509</v>
      </c>
      <c r="C328" s="11" t="str">
        <f t="shared" si="169"/>
        <v>item_1031007</v>
      </c>
      <c r="D328" s="11" t="str">
        <f t="shared" si="167"/>
        <v>item_desc_1031007</v>
      </c>
      <c r="E328" s="11" t="str">
        <f t="shared" si="168"/>
        <v>item_1031007</v>
      </c>
      <c r="H328" s="11">
        <v>1</v>
      </c>
      <c r="J328" s="11" t="str">
        <f t="shared" si="171"/>
        <v/>
      </c>
      <c r="P328" s="11">
        <v>129</v>
      </c>
      <c r="T328" s="11" t="s">
        <v>510</v>
      </c>
      <c r="U328" s="11" t="s">
        <v>65</v>
      </c>
      <c r="V328" s="11" t="s">
        <v>489</v>
      </c>
      <c r="W328" s="11">
        <v>2</v>
      </c>
    </row>
    <row r="329" s="12" customFormat="1" spans="1:11">
      <c r="A329" s="32">
        <v>1040801</v>
      </c>
      <c r="B329" s="12" t="s">
        <v>511</v>
      </c>
      <c r="C329" s="12" t="str">
        <f t="shared" si="169"/>
        <v>item_1040801</v>
      </c>
      <c r="D329" s="12" t="str">
        <f t="shared" si="167"/>
        <v>item_desc_1040801</v>
      </c>
      <c r="E329" s="12" t="str">
        <f t="shared" si="168"/>
        <v>item_1040801</v>
      </c>
      <c r="F329" s="12">
        <v>10408</v>
      </c>
      <c r="G329" s="12">
        <f t="shared" si="170"/>
        <v>1</v>
      </c>
      <c r="H329" s="12">
        <v>1</v>
      </c>
      <c r="J329" s="12">
        <f t="shared" si="171"/>
        <v>1040802</v>
      </c>
      <c r="K329" s="12">
        <v>6</v>
      </c>
    </row>
    <row r="330" s="9" customFormat="1" spans="1:11">
      <c r="A330" s="26">
        <v>1040802</v>
      </c>
      <c r="B330" s="9" t="s">
        <v>512</v>
      </c>
      <c r="C330" s="9" t="str">
        <f t="shared" si="169"/>
        <v>item_1040802</v>
      </c>
      <c r="D330" s="9" t="str">
        <f t="shared" si="167"/>
        <v>item_desc_1040802</v>
      </c>
      <c r="E330" s="9" t="str">
        <f t="shared" si="168"/>
        <v>item_1040802</v>
      </c>
      <c r="F330" s="9">
        <v>10408</v>
      </c>
      <c r="G330" s="9">
        <f t="shared" si="170"/>
        <v>2</v>
      </c>
      <c r="H330" s="9">
        <v>1</v>
      </c>
      <c r="J330" s="9">
        <f t="shared" si="171"/>
        <v>1040803</v>
      </c>
      <c r="K330" s="9">
        <v>6</v>
      </c>
    </row>
    <row r="331" s="9" customFormat="1" spans="1:23">
      <c r="A331" s="26">
        <v>1040803</v>
      </c>
      <c r="B331" s="9" t="s">
        <v>513</v>
      </c>
      <c r="C331" s="9" t="str">
        <f t="shared" si="169"/>
        <v>item_1040803</v>
      </c>
      <c r="D331" s="9" t="str">
        <f t="shared" si="167"/>
        <v>item_desc_1040803</v>
      </c>
      <c r="E331" s="9" t="str">
        <f t="shared" si="168"/>
        <v>item_1040803</v>
      </c>
      <c r="F331" s="9">
        <v>10408</v>
      </c>
      <c r="G331" s="9">
        <f t="shared" si="170"/>
        <v>3</v>
      </c>
      <c r="H331" s="9">
        <v>1</v>
      </c>
      <c r="J331" s="9">
        <f t="shared" si="171"/>
        <v>1040804</v>
      </c>
      <c r="W331" s="9">
        <v>1</v>
      </c>
    </row>
    <row r="332" s="9" customFormat="1" spans="1:23">
      <c r="A332" s="26">
        <v>1040804</v>
      </c>
      <c r="B332" s="9" t="s">
        <v>514</v>
      </c>
      <c r="C332" s="9" t="str">
        <f t="shared" si="169"/>
        <v>item_1040804</v>
      </c>
      <c r="D332" s="9" t="str">
        <f t="shared" ref="D332:D373" si="172">"item_desc_"&amp;A332</f>
        <v>item_desc_1040804</v>
      </c>
      <c r="E332" s="9" t="str">
        <f t="shared" ref="E332:E373" si="173">"item_"&amp;A332</f>
        <v>item_1040804</v>
      </c>
      <c r="F332" s="9">
        <v>10408</v>
      </c>
      <c r="G332" s="9">
        <f t="shared" si="170"/>
        <v>4</v>
      </c>
      <c r="H332" s="9">
        <v>1</v>
      </c>
      <c r="J332" s="9">
        <f t="shared" si="171"/>
        <v>1040805</v>
      </c>
      <c r="W332" s="9">
        <v>1</v>
      </c>
    </row>
    <row r="333" s="9" customFormat="1" spans="1:23">
      <c r="A333" s="26">
        <v>1040805</v>
      </c>
      <c r="B333" s="9" t="s">
        <v>515</v>
      </c>
      <c r="C333" s="9" t="str">
        <f t="shared" ref="C333:C373" si="174">"item_"&amp;A333</f>
        <v>item_1040805</v>
      </c>
      <c r="D333" s="9" t="str">
        <f t="shared" si="172"/>
        <v>item_desc_1040805</v>
      </c>
      <c r="E333" s="9" t="str">
        <f t="shared" si="173"/>
        <v>item_1040805</v>
      </c>
      <c r="F333" s="9">
        <v>10408</v>
      </c>
      <c r="G333" s="9">
        <f t="shared" ref="G333:G373" si="175">IF(F333&lt;&gt;F332,1,G332+1)</f>
        <v>5</v>
      </c>
      <c r="H333" s="9">
        <v>2</v>
      </c>
      <c r="J333" s="9">
        <f t="shared" si="171"/>
        <v>1040806</v>
      </c>
      <c r="W333" s="9">
        <v>1</v>
      </c>
    </row>
    <row r="334" s="9" customFormat="1" spans="1:23">
      <c r="A334" s="26">
        <v>1040806</v>
      </c>
      <c r="B334" s="9" t="s">
        <v>516</v>
      </c>
      <c r="C334" s="9" t="str">
        <f t="shared" si="174"/>
        <v>item_1040806</v>
      </c>
      <c r="D334" s="9" t="str">
        <f t="shared" si="172"/>
        <v>item_desc_1040806</v>
      </c>
      <c r="E334" s="9" t="str">
        <f t="shared" si="173"/>
        <v>item_1040806</v>
      </c>
      <c r="F334" s="9">
        <v>10408</v>
      </c>
      <c r="G334" s="9">
        <f t="shared" si="175"/>
        <v>6</v>
      </c>
      <c r="H334" s="9">
        <v>2</v>
      </c>
      <c r="J334" s="9">
        <f t="shared" ref="J334:J373" si="176">IF(A335-A334=1,A335,"")</f>
        <v>1040807</v>
      </c>
      <c r="W334" s="9">
        <v>2</v>
      </c>
    </row>
    <row r="335" s="9" customFormat="1" spans="1:23">
      <c r="A335" s="26">
        <v>1040807</v>
      </c>
      <c r="B335" s="9" t="s">
        <v>517</v>
      </c>
      <c r="C335" s="9" t="str">
        <f t="shared" si="174"/>
        <v>item_1040807</v>
      </c>
      <c r="D335" s="9" t="str">
        <f t="shared" si="172"/>
        <v>item_desc_1040807</v>
      </c>
      <c r="E335" s="9" t="str">
        <f t="shared" si="173"/>
        <v>item_1040807</v>
      </c>
      <c r="F335" s="9">
        <v>10408</v>
      </c>
      <c r="G335" s="9">
        <f t="shared" si="175"/>
        <v>7</v>
      </c>
      <c r="H335" s="9">
        <v>2</v>
      </c>
      <c r="J335" s="9">
        <f t="shared" si="176"/>
        <v>1040808</v>
      </c>
      <c r="W335" s="9">
        <v>2</v>
      </c>
    </row>
    <row r="336" s="9" customFormat="1" spans="1:23">
      <c r="A336" s="26">
        <v>1040808</v>
      </c>
      <c r="B336" s="9" t="s">
        <v>518</v>
      </c>
      <c r="C336" s="9" t="str">
        <f t="shared" si="174"/>
        <v>item_1040808</v>
      </c>
      <c r="D336" s="9" t="str">
        <f t="shared" si="172"/>
        <v>item_desc_1040808</v>
      </c>
      <c r="E336" s="9" t="str">
        <f t="shared" si="173"/>
        <v>item_1040808</v>
      </c>
      <c r="F336" s="9">
        <v>10408</v>
      </c>
      <c r="G336" s="9">
        <f t="shared" si="175"/>
        <v>8</v>
      </c>
      <c r="H336" s="9">
        <v>2</v>
      </c>
      <c r="J336" s="9">
        <f t="shared" si="176"/>
        <v>1040809</v>
      </c>
      <c r="W336" s="9">
        <v>2</v>
      </c>
    </row>
    <row r="337" s="9" customFormat="1" spans="1:23">
      <c r="A337" s="26">
        <v>1040809</v>
      </c>
      <c r="B337" s="9" t="s">
        <v>519</v>
      </c>
      <c r="C337" s="9" t="str">
        <f t="shared" si="174"/>
        <v>item_1040809</v>
      </c>
      <c r="D337" s="9" t="str">
        <f t="shared" si="172"/>
        <v>item_desc_1040809</v>
      </c>
      <c r="E337" s="9" t="str">
        <f t="shared" si="173"/>
        <v>item_1040809</v>
      </c>
      <c r="F337" s="9">
        <v>10408</v>
      </c>
      <c r="G337" s="9">
        <f t="shared" si="175"/>
        <v>9</v>
      </c>
      <c r="H337" s="9">
        <v>2</v>
      </c>
      <c r="J337" s="9">
        <f t="shared" si="176"/>
        <v>1040810</v>
      </c>
      <c r="W337" s="9">
        <v>2</v>
      </c>
    </row>
    <row r="338" s="9" customFormat="1" spans="1:23">
      <c r="A338" s="26">
        <v>1040810</v>
      </c>
      <c r="B338" s="9" t="s">
        <v>520</v>
      </c>
      <c r="C338" s="9" t="str">
        <f t="shared" si="174"/>
        <v>item_1040810</v>
      </c>
      <c r="D338" s="9" t="str">
        <f t="shared" si="172"/>
        <v>item_desc_1040810</v>
      </c>
      <c r="E338" s="9" t="str">
        <f t="shared" si="173"/>
        <v>item_1040810</v>
      </c>
      <c r="F338" s="9">
        <v>10408</v>
      </c>
      <c r="G338" s="9">
        <f t="shared" si="175"/>
        <v>10</v>
      </c>
      <c r="H338" s="9">
        <v>2</v>
      </c>
      <c r="J338" s="9">
        <f t="shared" si="176"/>
        <v>1040811</v>
      </c>
      <c r="W338" s="9">
        <v>2</v>
      </c>
    </row>
    <row r="339" s="9" customFormat="1" spans="1:23">
      <c r="A339" s="26">
        <v>1040811</v>
      </c>
      <c r="B339" s="9" t="s">
        <v>521</v>
      </c>
      <c r="C339" s="9" t="str">
        <f t="shared" si="174"/>
        <v>item_1040811</v>
      </c>
      <c r="D339" s="9" t="str">
        <f t="shared" si="172"/>
        <v>item_desc_1040811</v>
      </c>
      <c r="E339" s="9" t="str">
        <f t="shared" si="173"/>
        <v>item_1040811</v>
      </c>
      <c r="F339" s="9">
        <v>10408</v>
      </c>
      <c r="G339" s="9">
        <f t="shared" si="175"/>
        <v>11</v>
      </c>
      <c r="H339" s="9">
        <v>2</v>
      </c>
      <c r="J339" s="9" t="str">
        <f t="shared" si="176"/>
        <v/>
      </c>
      <c r="W339" s="9">
        <v>2</v>
      </c>
    </row>
    <row r="340" s="9" customFormat="1" spans="1:22">
      <c r="A340" s="26">
        <v>1030801</v>
      </c>
      <c r="B340" s="9" t="s">
        <v>522</v>
      </c>
      <c r="C340" s="9" t="str">
        <f t="shared" si="174"/>
        <v>item_1030801</v>
      </c>
      <c r="D340" s="9" t="str">
        <f t="shared" si="172"/>
        <v>item_desc_1030801</v>
      </c>
      <c r="E340" s="9" t="str">
        <f t="shared" si="173"/>
        <v>item_1030801</v>
      </c>
      <c r="F340" s="9">
        <v>10308</v>
      </c>
      <c r="G340" s="9">
        <f t="shared" si="175"/>
        <v>1</v>
      </c>
      <c r="H340" s="9">
        <v>1</v>
      </c>
      <c r="J340" s="9">
        <f t="shared" si="176"/>
        <v>1030802</v>
      </c>
      <c r="K340" s="9">
        <v>5</v>
      </c>
      <c r="U340" s="9" t="s">
        <v>65</v>
      </c>
      <c r="V340" s="9" t="s">
        <v>523</v>
      </c>
    </row>
    <row r="341" s="9" customFormat="1" spans="1:22">
      <c r="A341" s="26">
        <v>1030802</v>
      </c>
      <c r="B341" s="9" t="s">
        <v>524</v>
      </c>
      <c r="C341" s="9" t="str">
        <f t="shared" si="174"/>
        <v>item_1030802</v>
      </c>
      <c r="D341" s="9" t="str">
        <f t="shared" si="172"/>
        <v>item_desc_1030802</v>
      </c>
      <c r="E341" s="9" t="str">
        <f t="shared" si="173"/>
        <v>item_1030802</v>
      </c>
      <c r="F341" s="9">
        <v>10308</v>
      </c>
      <c r="G341" s="9">
        <f t="shared" si="175"/>
        <v>2</v>
      </c>
      <c r="H341" s="9">
        <v>1</v>
      </c>
      <c r="J341" s="9">
        <f t="shared" si="176"/>
        <v>1030803</v>
      </c>
      <c r="K341" s="9">
        <v>5</v>
      </c>
      <c r="P341" s="9">
        <v>6</v>
      </c>
      <c r="U341" s="9" t="s">
        <v>65</v>
      </c>
      <c r="V341" s="9" t="s">
        <v>523</v>
      </c>
    </row>
    <row r="342" s="9" customFormat="1" spans="1:23">
      <c r="A342" s="26">
        <v>1030803</v>
      </c>
      <c r="B342" s="9" t="s">
        <v>525</v>
      </c>
      <c r="C342" s="9" t="str">
        <f t="shared" si="174"/>
        <v>item_1030803</v>
      </c>
      <c r="D342" s="9" t="str">
        <f t="shared" si="172"/>
        <v>item_desc_1030803</v>
      </c>
      <c r="E342" s="9" t="str">
        <f t="shared" si="173"/>
        <v>item_1030803</v>
      </c>
      <c r="F342" s="9">
        <v>10308</v>
      </c>
      <c r="G342" s="9">
        <f t="shared" si="175"/>
        <v>3</v>
      </c>
      <c r="H342" s="9">
        <v>1</v>
      </c>
      <c r="J342" s="9">
        <f t="shared" si="176"/>
        <v>1030804</v>
      </c>
      <c r="K342" s="9">
        <v>5</v>
      </c>
      <c r="P342" s="9">
        <v>12</v>
      </c>
      <c r="S342" s="9" t="s">
        <v>361</v>
      </c>
      <c r="T342" s="9" t="s">
        <v>71</v>
      </c>
      <c r="U342" s="9" t="s">
        <v>65</v>
      </c>
      <c r="V342" s="9" t="s">
        <v>523</v>
      </c>
      <c r="W342" s="9">
        <v>1</v>
      </c>
    </row>
    <row r="343" s="9" customFormat="1" spans="1:23">
      <c r="A343" s="26">
        <v>1030804</v>
      </c>
      <c r="B343" s="9" t="s">
        <v>526</v>
      </c>
      <c r="C343" s="9" t="str">
        <f t="shared" si="174"/>
        <v>item_1030804</v>
      </c>
      <c r="D343" s="9" t="str">
        <f t="shared" si="172"/>
        <v>item_desc_1030804</v>
      </c>
      <c r="E343" s="9" t="str">
        <f t="shared" si="173"/>
        <v>item_1030804</v>
      </c>
      <c r="F343" s="9">
        <v>10308</v>
      </c>
      <c r="G343" s="9">
        <f t="shared" si="175"/>
        <v>4</v>
      </c>
      <c r="H343" s="9">
        <v>1</v>
      </c>
      <c r="J343" s="9">
        <f t="shared" si="176"/>
        <v>1030805</v>
      </c>
      <c r="P343" s="9">
        <v>21</v>
      </c>
      <c r="S343" s="9" t="s">
        <v>385</v>
      </c>
      <c r="T343" s="9" t="s">
        <v>74</v>
      </c>
      <c r="U343" s="9" t="s">
        <v>65</v>
      </c>
      <c r="V343" s="9" t="s">
        <v>523</v>
      </c>
      <c r="W343" s="9">
        <v>1</v>
      </c>
    </row>
    <row r="344" s="9" customFormat="1" spans="1:23">
      <c r="A344" s="26">
        <v>1030805</v>
      </c>
      <c r="B344" s="9" t="s">
        <v>527</v>
      </c>
      <c r="C344" s="9" t="str">
        <f t="shared" si="174"/>
        <v>item_1030805</v>
      </c>
      <c r="D344" s="9" t="str">
        <f t="shared" si="172"/>
        <v>item_desc_1030805</v>
      </c>
      <c r="E344" s="9" t="str">
        <f t="shared" si="173"/>
        <v>item_1030805</v>
      </c>
      <c r="F344" s="9">
        <v>10308</v>
      </c>
      <c r="G344" s="9">
        <f t="shared" si="175"/>
        <v>5</v>
      </c>
      <c r="H344" s="9">
        <v>1</v>
      </c>
      <c r="J344" s="9">
        <f t="shared" si="176"/>
        <v>1030806</v>
      </c>
      <c r="P344" s="9">
        <v>36</v>
      </c>
      <c r="S344" s="9" t="s">
        <v>385</v>
      </c>
      <c r="T344" s="9" t="s">
        <v>78</v>
      </c>
      <c r="U344" s="9" t="s">
        <v>65</v>
      </c>
      <c r="V344" s="9" t="s">
        <v>523</v>
      </c>
      <c r="W344" s="9">
        <v>1</v>
      </c>
    </row>
    <row r="345" s="9" customFormat="1" spans="1:23">
      <c r="A345" s="26">
        <v>1030806</v>
      </c>
      <c r="B345" s="9" t="s">
        <v>528</v>
      </c>
      <c r="C345" s="9" t="str">
        <f t="shared" si="174"/>
        <v>item_1030806</v>
      </c>
      <c r="D345" s="9" t="str">
        <f t="shared" si="172"/>
        <v>item_desc_1030806</v>
      </c>
      <c r="E345" s="9" t="str">
        <f t="shared" si="173"/>
        <v>item_1030806</v>
      </c>
      <c r="F345" s="9">
        <v>10308</v>
      </c>
      <c r="G345" s="9">
        <f t="shared" si="175"/>
        <v>6</v>
      </c>
      <c r="H345" s="9">
        <v>1</v>
      </c>
      <c r="J345" s="9">
        <f t="shared" si="176"/>
        <v>1030807</v>
      </c>
      <c r="L345" s="33">
        <v>1</v>
      </c>
      <c r="M345" s="9" t="s">
        <v>529</v>
      </c>
      <c r="P345" s="9">
        <v>54</v>
      </c>
      <c r="S345" s="9" t="s">
        <v>467</v>
      </c>
      <c r="T345" s="9" t="s">
        <v>529</v>
      </c>
      <c r="U345" s="9" t="s">
        <v>65</v>
      </c>
      <c r="V345" s="9" t="s">
        <v>523</v>
      </c>
      <c r="W345" s="9">
        <v>2</v>
      </c>
    </row>
    <row r="346" s="9" customFormat="1" spans="1:23">
      <c r="A346" s="26">
        <v>1030807</v>
      </c>
      <c r="B346" s="9" t="s">
        <v>530</v>
      </c>
      <c r="C346" s="9" t="str">
        <f t="shared" si="174"/>
        <v>item_1030807</v>
      </c>
      <c r="D346" s="9" t="str">
        <f t="shared" si="172"/>
        <v>item_desc_1030807</v>
      </c>
      <c r="E346" s="9" t="str">
        <f t="shared" si="173"/>
        <v>item_1030807</v>
      </c>
      <c r="F346" s="9">
        <v>10308</v>
      </c>
      <c r="G346" s="9">
        <f t="shared" si="175"/>
        <v>7</v>
      </c>
      <c r="H346" s="9">
        <v>1</v>
      </c>
      <c r="J346" s="9">
        <f t="shared" si="176"/>
        <v>1030808</v>
      </c>
      <c r="L346" s="33">
        <v>1</v>
      </c>
      <c r="M346" s="9" t="s">
        <v>531</v>
      </c>
      <c r="P346" s="9">
        <v>84</v>
      </c>
      <c r="S346" s="9" t="s">
        <v>230</v>
      </c>
      <c r="T346" s="9" t="s">
        <v>531</v>
      </c>
      <c r="U346" s="9" t="s">
        <v>65</v>
      </c>
      <c r="V346" s="9" t="s">
        <v>523</v>
      </c>
      <c r="W346" s="9">
        <v>2</v>
      </c>
    </row>
    <row r="347" s="9" customFormat="1" spans="1:23">
      <c r="A347" s="26">
        <v>1030808</v>
      </c>
      <c r="B347" s="9" t="s">
        <v>532</v>
      </c>
      <c r="C347" s="9" t="str">
        <f t="shared" si="174"/>
        <v>item_1030808</v>
      </c>
      <c r="D347" s="9" t="str">
        <f t="shared" si="172"/>
        <v>item_desc_1030808</v>
      </c>
      <c r="E347" s="9" t="str">
        <f t="shared" si="173"/>
        <v>item_1030808</v>
      </c>
      <c r="F347" s="9">
        <v>10308</v>
      </c>
      <c r="G347" s="9">
        <f t="shared" si="175"/>
        <v>8</v>
      </c>
      <c r="H347" s="9">
        <v>1</v>
      </c>
      <c r="J347" s="9">
        <f t="shared" si="176"/>
        <v>1030809</v>
      </c>
      <c r="L347" s="33">
        <v>1</v>
      </c>
      <c r="M347" s="9" t="s">
        <v>533</v>
      </c>
      <c r="P347" s="9">
        <v>132</v>
      </c>
      <c r="Q347" s="9" t="s">
        <v>367</v>
      </c>
      <c r="S347" s="9" t="s">
        <v>230</v>
      </c>
      <c r="T347" s="9" t="s">
        <v>533</v>
      </c>
      <c r="U347" s="9" t="s">
        <v>65</v>
      </c>
      <c r="V347" s="9" t="s">
        <v>523</v>
      </c>
      <c r="W347" s="9">
        <v>2</v>
      </c>
    </row>
    <row r="348" s="9" customFormat="1" spans="1:23">
      <c r="A348" s="26">
        <v>1030809</v>
      </c>
      <c r="B348" s="9" t="s">
        <v>534</v>
      </c>
      <c r="C348" s="9" t="str">
        <f t="shared" si="174"/>
        <v>item_1030809</v>
      </c>
      <c r="D348" s="9" t="str">
        <f t="shared" si="172"/>
        <v>item_desc_1030809</v>
      </c>
      <c r="E348" s="9" t="str">
        <f t="shared" si="173"/>
        <v>item_1030809</v>
      </c>
      <c r="F348" s="9">
        <v>10308</v>
      </c>
      <c r="G348" s="9">
        <f t="shared" si="175"/>
        <v>9</v>
      </c>
      <c r="H348" s="9">
        <v>1</v>
      </c>
      <c r="J348" s="9">
        <f t="shared" si="176"/>
        <v>1030810</v>
      </c>
      <c r="L348" s="33">
        <v>1</v>
      </c>
      <c r="M348" s="9" t="s">
        <v>535</v>
      </c>
      <c r="P348" s="9">
        <v>198</v>
      </c>
      <c r="Q348" s="9" t="s">
        <v>367</v>
      </c>
      <c r="S348" s="9" t="s">
        <v>76</v>
      </c>
      <c r="T348" s="9" t="s">
        <v>535</v>
      </c>
      <c r="U348" s="9" t="s">
        <v>65</v>
      </c>
      <c r="V348" s="9" t="s">
        <v>523</v>
      </c>
      <c r="W348" s="9">
        <v>2</v>
      </c>
    </row>
    <row r="349" s="9" customFormat="1" spans="1:23">
      <c r="A349" s="26">
        <v>1030810</v>
      </c>
      <c r="B349" s="9" t="s">
        <v>536</v>
      </c>
      <c r="C349" s="9" t="str">
        <f t="shared" si="174"/>
        <v>item_1030810</v>
      </c>
      <c r="D349" s="9" t="str">
        <f t="shared" si="172"/>
        <v>item_desc_1030810</v>
      </c>
      <c r="E349" s="9" t="str">
        <f t="shared" si="173"/>
        <v>item_1030810</v>
      </c>
      <c r="F349" s="9">
        <v>10308</v>
      </c>
      <c r="G349" s="9">
        <f t="shared" si="175"/>
        <v>10</v>
      </c>
      <c r="H349" s="9">
        <v>1</v>
      </c>
      <c r="J349" s="9">
        <f t="shared" si="176"/>
        <v>1030811</v>
      </c>
      <c r="P349" s="9">
        <v>303</v>
      </c>
      <c r="Q349" s="9" t="s">
        <v>367</v>
      </c>
      <c r="S349" s="9" t="s">
        <v>76</v>
      </c>
      <c r="T349" s="9" t="s">
        <v>537</v>
      </c>
      <c r="U349" s="9" t="s">
        <v>65</v>
      </c>
      <c r="V349" s="9" t="s">
        <v>523</v>
      </c>
      <c r="W349" s="9">
        <v>2</v>
      </c>
    </row>
    <row r="350" s="9" customFormat="1" spans="1:23">
      <c r="A350" s="26">
        <v>1030811</v>
      </c>
      <c r="B350" s="9" t="s">
        <v>538</v>
      </c>
      <c r="C350" s="9" t="str">
        <f t="shared" si="174"/>
        <v>item_1030811</v>
      </c>
      <c r="D350" s="9" t="str">
        <f t="shared" si="172"/>
        <v>item_desc_1030811</v>
      </c>
      <c r="E350" s="9" t="str">
        <f t="shared" si="173"/>
        <v>item_1030811</v>
      </c>
      <c r="F350" s="9">
        <v>10308</v>
      </c>
      <c r="G350" s="9">
        <f t="shared" si="175"/>
        <v>11</v>
      </c>
      <c r="H350" s="9">
        <v>1</v>
      </c>
      <c r="J350" s="9">
        <f t="shared" si="176"/>
        <v>1030812</v>
      </c>
      <c r="P350" s="9">
        <v>456</v>
      </c>
      <c r="Q350" s="9" t="s">
        <v>367</v>
      </c>
      <c r="S350" s="9" t="s">
        <v>76</v>
      </c>
      <c r="T350" s="9" t="s">
        <v>539</v>
      </c>
      <c r="U350" s="9" t="s">
        <v>65</v>
      </c>
      <c r="V350" s="9" t="s">
        <v>523</v>
      </c>
      <c r="W350" s="9">
        <v>2</v>
      </c>
    </row>
    <row r="351" s="11" customFormat="1" spans="1:23">
      <c r="A351" s="31">
        <v>1030812</v>
      </c>
      <c r="B351" s="11" t="s">
        <v>540</v>
      </c>
      <c r="C351" s="11" t="str">
        <f t="shared" si="174"/>
        <v>item_1030812</v>
      </c>
      <c r="D351" s="11" t="str">
        <f t="shared" si="172"/>
        <v>item_desc_1030812</v>
      </c>
      <c r="E351" s="11" t="str">
        <f t="shared" si="173"/>
        <v>item_1030812</v>
      </c>
      <c r="F351" s="11">
        <v>10308</v>
      </c>
      <c r="G351" s="11">
        <f t="shared" si="175"/>
        <v>12</v>
      </c>
      <c r="H351" s="11">
        <v>1</v>
      </c>
      <c r="J351" s="11" t="str">
        <f t="shared" si="176"/>
        <v/>
      </c>
      <c r="P351" s="11">
        <v>687</v>
      </c>
      <c r="Q351" s="11" t="s">
        <v>367</v>
      </c>
      <c r="S351" s="11" t="s">
        <v>76</v>
      </c>
      <c r="T351" s="11" t="s">
        <v>541</v>
      </c>
      <c r="U351" s="11" t="s">
        <v>65</v>
      </c>
      <c r="V351" s="11" t="s">
        <v>523</v>
      </c>
      <c r="W351" s="11">
        <v>2</v>
      </c>
    </row>
    <row r="352" s="12" customFormat="1" spans="1:10">
      <c r="A352" s="32">
        <v>9910101</v>
      </c>
      <c r="B352" s="12" t="s">
        <v>542</v>
      </c>
      <c r="C352" s="12" t="str">
        <f t="shared" si="174"/>
        <v>item_9910101</v>
      </c>
      <c r="D352" s="12" t="str">
        <f t="shared" si="172"/>
        <v>item_desc_9910101</v>
      </c>
      <c r="E352" s="12" t="str">
        <f t="shared" si="173"/>
        <v>item_9910101</v>
      </c>
      <c r="F352" s="12">
        <v>99101</v>
      </c>
      <c r="G352" s="12">
        <f t="shared" si="175"/>
        <v>1</v>
      </c>
      <c r="H352" s="12">
        <v>1</v>
      </c>
      <c r="J352" s="12">
        <f t="shared" si="176"/>
        <v>9910102</v>
      </c>
    </row>
    <row r="353" s="9" customFormat="1" spans="1:10">
      <c r="A353" s="26">
        <v>9910102</v>
      </c>
      <c r="B353" s="9" t="s">
        <v>543</v>
      </c>
      <c r="C353" s="9" t="str">
        <f t="shared" si="174"/>
        <v>item_9910102</v>
      </c>
      <c r="D353" s="9" t="str">
        <f t="shared" si="172"/>
        <v>item_desc_9910102</v>
      </c>
      <c r="E353" s="9" t="str">
        <f t="shared" si="173"/>
        <v>item_9910102</v>
      </c>
      <c r="F353" s="9">
        <v>99101</v>
      </c>
      <c r="G353" s="9">
        <f t="shared" si="175"/>
        <v>2</v>
      </c>
      <c r="H353" s="9">
        <v>1</v>
      </c>
      <c r="J353" s="9">
        <f t="shared" si="176"/>
        <v>9910103</v>
      </c>
    </row>
    <row r="354" s="9" customFormat="1" spans="1:23">
      <c r="A354" s="26">
        <v>9910103</v>
      </c>
      <c r="B354" s="9" t="s">
        <v>544</v>
      </c>
      <c r="C354" s="9" t="str">
        <f t="shared" si="174"/>
        <v>item_9910103</v>
      </c>
      <c r="D354" s="9" t="str">
        <f t="shared" si="172"/>
        <v>item_desc_9910103</v>
      </c>
      <c r="E354" s="9" t="str">
        <f t="shared" si="173"/>
        <v>item_9910103</v>
      </c>
      <c r="F354" s="9">
        <v>99101</v>
      </c>
      <c r="G354" s="9">
        <f t="shared" si="175"/>
        <v>3</v>
      </c>
      <c r="H354" s="9">
        <v>1</v>
      </c>
      <c r="J354" s="9">
        <f t="shared" si="176"/>
        <v>9910104</v>
      </c>
      <c r="W354" s="9">
        <v>1</v>
      </c>
    </row>
    <row r="355" s="9" customFormat="1" spans="1:23">
      <c r="A355" s="26">
        <v>9910104</v>
      </c>
      <c r="B355" s="9" t="s">
        <v>545</v>
      </c>
      <c r="C355" s="9" t="str">
        <f t="shared" si="174"/>
        <v>item_9910104</v>
      </c>
      <c r="D355" s="9" t="str">
        <f t="shared" si="172"/>
        <v>item_desc_9910104</v>
      </c>
      <c r="E355" s="9" t="str">
        <f t="shared" si="173"/>
        <v>item_9910104</v>
      </c>
      <c r="F355" s="9">
        <v>99101</v>
      </c>
      <c r="G355" s="9">
        <f t="shared" si="175"/>
        <v>4</v>
      </c>
      <c r="H355" s="9">
        <v>1</v>
      </c>
      <c r="J355" s="9">
        <f t="shared" si="176"/>
        <v>9910105</v>
      </c>
      <c r="W355" s="9">
        <v>2</v>
      </c>
    </row>
    <row r="356" s="11" customFormat="1" spans="1:23">
      <c r="A356" s="31">
        <v>9910105</v>
      </c>
      <c r="B356" s="11" t="s">
        <v>546</v>
      </c>
      <c r="C356" s="11" t="str">
        <f t="shared" si="174"/>
        <v>item_9910105</v>
      </c>
      <c r="D356" s="11" t="str">
        <f t="shared" si="172"/>
        <v>item_desc_9910105</v>
      </c>
      <c r="E356" s="11" t="str">
        <f t="shared" si="173"/>
        <v>item_9910105</v>
      </c>
      <c r="F356" s="11">
        <v>99101</v>
      </c>
      <c r="G356" s="11">
        <f t="shared" si="175"/>
        <v>5</v>
      </c>
      <c r="H356" s="11">
        <v>1</v>
      </c>
      <c r="J356" s="11" t="str">
        <f t="shared" si="176"/>
        <v/>
      </c>
      <c r="W356" s="11">
        <v>2</v>
      </c>
    </row>
    <row r="357" s="7" customFormat="1" spans="1:10">
      <c r="A357" s="24">
        <v>9960101</v>
      </c>
      <c r="B357" s="7" t="s">
        <v>547</v>
      </c>
      <c r="C357" s="7" t="str">
        <f t="shared" si="174"/>
        <v>item_9960101</v>
      </c>
      <c r="D357" s="7" t="str">
        <f t="shared" si="172"/>
        <v>item_desc_9960101</v>
      </c>
      <c r="E357" s="7" t="str">
        <f t="shared" si="173"/>
        <v>item_9960101</v>
      </c>
      <c r="F357" s="7">
        <v>99601</v>
      </c>
      <c r="G357" s="7">
        <f t="shared" si="175"/>
        <v>1</v>
      </c>
      <c r="H357" s="7">
        <v>6</v>
      </c>
      <c r="I357" s="7" t="s">
        <v>548</v>
      </c>
      <c r="J357" s="7">
        <f t="shared" si="176"/>
        <v>9960102</v>
      </c>
    </row>
    <row r="358" s="8" customFormat="1" spans="1:10">
      <c r="A358" s="25">
        <v>9960102</v>
      </c>
      <c r="B358" s="8" t="s">
        <v>549</v>
      </c>
      <c r="C358" s="8" t="str">
        <f t="shared" si="174"/>
        <v>item_9960102</v>
      </c>
      <c r="D358" s="8" t="str">
        <f t="shared" si="172"/>
        <v>item_desc_9960102</v>
      </c>
      <c r="E358" s="8" t="str">
        <f t="shared" si="173"/>
        <v>item_9960102</v>
      </c>
      <c r="F358" s="8">
        <v>99601</v>
      </c>
      <c r="G358" s="8">
        <f t="shared" si="175"/>
        <v>2</v>
      </c>
      <c r="H358" s="8">
        <v>6</v>
      </c>
      <c r="I358" s="8" t="s">
        <v>550</v>
      </c>
      <c r="J358" s="8">
        <f t="shared" si="176"/>
        <v>9960103</v>
      </c>
    </row>
    <row r="359" s="8" customFormat="1" spans="1:23">
      <c r="A359" s="25">
        <v>9960103</v>
      </c>
      <c r="B359" s="8" t="s">
        <v>551</v>
      </c>
      <c r="C359" s="8" t="str">
        <f t="shared" si="174"/>
        <v>item_9960103</v>
      </c>
      <c r="D359" s="8" t="str">
        <f t="shared" si="172"/>
        <v>item_desc_9960103</v>
      </c>
      <c r="E359" s="8" t="str">
        <f t="shared" si="173"/>
        <v>item_9960103</v>
      </c>
      <c r="F359" s="8">
        <v>99601</v>
      </c>
      <c r="G359" s="8">
        <f t="shared" si="175"/>
        <v>3</v>
      </c>
      <c r="H359" s="8">
        <v>6</v>
      </c>
      <c r="I359" s="8" t="s">
        <v>552</v>
      </c>
      <c r="J359" s="8">
        <f t="shared" si="176"/>
        <v>9960104</v>
      </c>
      <c r="W359" s="8">
        <v>1</v>
      </c>
    </row>
    <row r="360" s="8" customFormat="1" spans="1:23">
      <c r="A360" s="25">
        <v>9960104</v>
      </c>
      <c r="B360" s="8" t="s">
        <v>553</v>
      </c>
      <c r="C360" s="8" t="str">
        <f t="shared" si="174"/>
        <v>item_9960104</v>
      </c>
      <c r="D360" s="8" t="str">
        <f t="shared" si="172"/>
        <v>item_desc_9960104</v>
      </c>
      <c r="E360" s="8" t="str">
        <f t="shared" si="173"/>
        <v>item_9960104</v>
      </c>
      <c r="F360" s="8">
        <v>99601</v>
      </c>
      <c r="G360" s="8">
        <f t="shared" si="175"/>
        <v>4</v>
      </c>
      <c r="H360" s="8">
        <v>6</v>
      </c>
      <c r="I360" s="8" t="s">
        <v>554</v>
      </c>
      <c r="J360" s="8">
        <f t="shared" si="176"/>
        <v>9960105</v>
      </c>
      <c r="W360" s="8">
        <v>2</v>
      </c>
    </row>
    <row r="361" s="10" customFormat="1" spans="1:23">
      <c r="A361" s="27">
        <v>9960105</v>
      </c>
      <c r="B361" s="10" t="s">
        <v>555</v>
      </c>
      <c r="C361" s="10" t="str">
        <f t="shared" si="174"/>
        <v>item_9960105</v>
      </c>
      <c r="D361" s="10" t="str">
        <f t="shared" si="172"/>
        <v>item_desc_9960105</v>
      </c>
      <c r="E361" s="10" t="str">
        <f t="shared" si="173"/>
        <v>item_9960105</v>
      </c>
      <c r="F361" s="10">
        <v>99601</v>
      </c>
      <c r="G361" s="10">
        <f t="shared" si="175"/>
        <v>5</v>
      </c>
      <c r="H361" s="10">
        <v>6</v>
      </c>
      <c r="I361" s="10" t="s">
        <v>556</v>
      </c>
      <c r="J361" s="10" t="str">
        <f t="shared" si="176"/>
        <v/>
      </c>
      <c r="W361" s="10">
        <v>2</v>
      </c>
    </row>
    <row r="362" s="7" customFormat="1" spans="1:10">
      <c r="A362" s="24">
        <v>9920101</v>
      </c>
      <c r="B362" s="7" t="s">
        <v>557</v>
      </c>
      <c r="C362" s="7" t="s">
        <v>558</v>
      </c>
      <c r="D362" s="7" t="s">
        <v>559</v>
      </c>
      <c r="E362" s="7" t="s">
        <v>558</v>
      </c>
      <c r="F362" s="7">
        <v>99201</v>
      </c>
      <c r="G362" s="7">
        <v>1</v>
      </c>
      <c r="H362" s="7">
        <v>6</v>
      </c>
      <c r="I362" s="7" t="s">
        <v>162</v>
      </c>
      <c r="J362" s="7">
        <f t="shared" si="176"/>
        <v>9920102</v>
      </c>
    </row>
    <row r="363" s="8" customFormat="1" spans="1:10">
      <c r="A363" s="25">
        <v>9920102</v>
      </c>
      <c r="B363" s="8" t="s">
        <v>560</v>
      </c>
      <c r="C363" s="8" t="s">
        <v>561</v>
      </c>
      <c r="D363" s="8" t="s">
        <v>562</v>
      </c>
      <c r="E363" s="8" t="s">
        <v>561</v>
      </c>
      <c r="F363" s="8">
        <v>99201</v>
      </c>
      <c r="G363" s="8">
        <v>2</v>
      </c>
      <c r="H363" s="8">
        <v>6</v>
      </c>
      <c r="I363" s="8" t="s">
        <v>68</v>
      </c>
      <c r="J363" s="8">
        <f t="shared" si="176"/>
        <v>9920103</v>
      </c>
    </row>
    <row r="364" s="8" customFormat="1" spans="1:23">
      <c r="A364" s="25">
        <v>9920103</v>
      </c>
      <c r="B364" s="8" t="s">
        <v>563</v>
      </c>
      <c r="C364" s="8" t="s">
        <v>564</v>
      </c>
      <c r="D364" s="8" t="s">
        <v>565</v>
      </c>
      <c r="E364" s="8" t="s">
        <v>564</v>
      </c>
      <c r="F364" s="8">
        <v>99201</v>
      </c>
      <c r="G364" s="8">
        <v>3</v>
      </c>
      <c r="H364" s="8">
        <v>6</v>
      </c>
      <c r="I364" s="8" t="s">
        <v>202</v>
      </c>
      <c r="J364" s="8">
        <f t="shared" si="176"/>
        <v>9920104</v>
      </c>
      <c r="W364" s="8">
        <v>1</v>
      </c>
    </row>
    <row r="365" s="8" customFormat="1" spans="1:23">
      <c r="A365" s="25">
        <v>9920104</v>
      </c>
      <c r="B365" s="8" t="s">
        <v>566</v>
      </c>
      <c r="C365" s="8" t="s">
        <v>567</v>
      </c>
      <c r="D365" s="8" t="s">
        <v>568</v>
      </c>
      <c r="E365" s="8" t="s">
        <v>567</v>
      </c>
      <c r="F365" s="8">
        <v>99201</v>
      </c>
      <c r="G365" s="8">
        <v>4</v>
      </c>
      <c r="H365" s="8">
        <v>6</v>
      </c>
      <c r="I365" s="8" t="s">
        <v>204</v>
      </c>
      <c r="W365" s="8">
        <v>2</v>
      </c>
    </row>
    <row r="366" s="11" customFormat="1" spans="1:10">
      <c r="A366" s="31">
        <v>9920105</v>
      </c>
      <c r="B366" s="11" t="s">
        <v>569</v>
      </c>
      <c r="C366" s="11" t="str">
        <f t="shared" si="174"/>
        <v>item_9920105</v>
      </c>
      <c r="D366" s="11" t="str">
        <f t="shared" si="172"/>
        <v>item_desc_9920105</v>
      </c>
      <c r="E366" s="11" t="str">
        <f t="shared" si="173"/>
        <v>item_9920105</v>
      </c>
      <c r="H366" s="11">
        <v>6</v>
      </c>
      <c r="J366" s="11" t="str">
        <f t="shared" si="176"/>
        <v/>
      </c>
    </row>
    <row r="367" s="12" customFormat="1" spans="1:10">
      <c r="A367" s="32">
        <v>9950301</v>
      </c>
      <c r="B367" s="12" t="s">
        <v>570</v>
      </c>
      <c r="C367" s="12" t="str">
        <f t="shared" si="174"/>
        <v>item_9950301</v>
      </c>
      <c r="D367" s="12" t="str">
        <f t="shared" si="172"/>
        <v>item_desc_9950301</v>
      </c>
      <c r="E367" s="12" t="str">
        <f t="shared" si="173"/>
        <v>item_9950301</v>
      </c>
      <c r="H367" s="12">
        <v>3</v>
      </c>
      <c r="J367" s="12">
        <f t="shared" si="176"/>
        <v>9950302</v>
      </c>
    </row>
    <row r="368" s="8" customFormat="1" spans="1:10">
      <c r="A368" s="8">
        <v>9950302</v>
      </c>
      <c r="B368" s="8" t="s">
        <v>206</v>
      </c>
      <c r="C368" s="8" t="str">
        <f t="shared" si="174"/>
        <v>item_9950302</v>
      </c>
      <c r="D368" s="8" t="str">
        <f t="shared" si="172"/>
        <v>item_desc_9950302</v>
      </c>
      <c r="E368" s="8" t="str">
        <f t="shared" si="173"/>
        <v>item_9950302</v>
      </c>
      <c r="F368" s="8">
        <v>9950302</v>
      </c>
      <c r="G368" s="8">
        <f t="shared" si="175"/>
        <v>1</v>
      </c>
      <c r="H368" s="8">
        <v>3</v>
      </c>
      <c r="J368" s="8" t="str">
        <f t="shared" si="176"/>
        <v/>
      </c>
    </row>
    <row r="369" s="8" customFormat="1" spans="1:10">
      <c r="A369" s="8">
        <v>9950101</v>
      </c>
      <c r="B369" s="8" t="s">
        <v>571</v>
      </c>
      <c r="C369" s="8" t="str">
        <f t="shared" si="174"/>
        <v>item_9950101</v>
      </c>
      <c r="D369" s="8" t="str">
        <f t="shared" si="172"/>
        <v>item_desc_9950101</v>
      </c>
      <c r="E369" s="8" t="str">
        <f t="shared" si="173"/>
        <v>item_9950101</v>
      </c>
      <c r="F369" s="8">
        <v>99501</v>
      </c>
      <c r="G369" s="8">
        <f t="shared" si="175"/>
        <v>1</v>
      </c>
      <c r="H369" s="8">
        <v>3</v>
      </c>
      <c r="J369" s="8">
        <f t="shared" si="176"/>
        <v>9950102</v>
      </c>
    </row>
    <row r="370" s="8" customFormat="1" spans="1:23">
      <c r="A370" s="8">
        <v>9950102</v>
      </c>
      <c r="B370" s="8" t="s">
        <v>572</v>
      </c>
      <c r="C370" s="8" t="str">
        <f t="shared" si="174"/>
        <v>item_9950102</v>
      </c>
      <c r="D370" s="8" t="str">
        <f t="shared" si="172"/>
        <v>item_desc_9950102</v>
      </c>
      <c r="E370" s="8" t="str">
        <f t="shared" si="173"/>
        <v>item_9950102</v>
      </c>
      <c r="F370" s="8">
        <v>99501</v>
      </c>
      <c r="G370" s="8">
        <f t="shared" si="175"/>
        <v>2</v>
      </c>
      <c r="H370" s="8">
        <v>3</v>
      </c>
      <c r="J370" s="8" t="str">
        <f t="shared" si="176"/>
        <v/>
      </c>
      <c r="K370" s="8" t="str">
        <f>IF(AND(H367=1,G367&lt;=5),MAX(5,G367+2),"")</f>
        <v/>
      </c>
      <c r="W370" s="8">
        <v>2</v>
      </c>
    </row>
    <row r="371" s="8" customFormat="1" spans="1:11">
      <c r="A371" s="8">
        <v>9950201</v>
      </c>
      <c r="B371" s="8" t="s">
        <v>573</v>
      </c>
      <c r="C371" s="8" t="str">
        <f t="shared" si="174"/>
        <v>item_9950201</v>
      </c>
      <c r="D371" s="8" t="str">
        <f t="shared" si="172"/>
        <v>item_desc_9950201</v>
      </c>
      <c r="E371" s="8" t="str">
        <f t="shared" si="173"/>
        <v>item_9950201</v>
      </c>
      <c r="F371" s="8">
        <v>99502</v>
      </c>
      <c r="G371" s="8">
        <f t="shared" si="175"/>
        <v>1</v>
      </c>
      <c r="H371" s="8">
        <v>3</v>
      </c>
      <c r="J371" s="8">
        <f t="shared" si="176"/>
        <v>9950202</v>
      </c>
      <c r="K371" s="8" t="str">
        <f>IF(AND(H368=1,G368&lt;=5),MAX(5,G368+2),"")</f>
        <v/>
      </c>
    </row>
    <row r="372" s="8" customFormat="1" spans="1:23">
      <c r="A372" s="8">
        <v>9950202</v>
      </c>
      <c r="B372" s="8" t="s">
        <v>574</v>
      </c>
      <c r="C372" s="8" t="str">
        <f t="shared" si="174"/>
        <v>item_9950202</v>
      </c>
      <c r="D372" s="8" t="str">
        <f t="shared" si="172"/>
        <v>item_desc_9950202</v>
      </c>
      <c r="E372" s="8" t="str">
        <f t="shared" si="173"/>
        <v>item_9950202</v>
      </c>
      <c r="F372" s="8">
        <v>99502</v>
      </c>
      <c r="G372" s="8">
        <f t="shared" si="175"/>
        <v>2</v>
      </c>
      <c r="H372" s="8">
        <v>3</v>
      </c>
      <c r="J372" s="8" t="str">
        <f t="shared" si="176"/>
        <v/>
      </c>
      <c r="K372" s="8" t="str">
        <f>IF(AND(H369=1,G369&lt;=5),MAX(5,G369+2),"")</f>
        <v/>
      </c>
      <c r="W372" s="8">
        <v>2</v>
      </c>
    </row>
    <row r="373" s="8" customFormat="1" spans="1:11">
      <c r="A373" s="8">
        <v>9950304</v>
      </c>
      <c r="B373" s="8" t="s">
        <v>575</v>
      </c>
      <c r="C373" s="8" t="str">
        <f t="shared" si="174"/>
        <v>item_9950304</v>
      </c>
      <c r="D373" s="8" t="str">
        <f t="shared" si="172"/>
        <v>item_desc_9950304</v>
      </c>
      <c r="E373" s="8" t="str">
        <f t="shared" si="173"/>
        <v>item_9950304</v>
      </c>
      <c r="F373" s="8">
        <v>9950304</v>
      </c>
      <c r="G373" s="8">
        <f t="shared" si="175"/>
        <v>1</v>
      </c>
      <c r="H373" s="8">
        <v>3</v>
      </c>
      <c r="J373" s="8" t="str">
        <f t="shared" si="176"/>
        <v/>
      </c>
      <c r="K373" s="8" t="str">
        <f>IF(AND(H370=1,G370&lt;=5),MAX(5,G370+2),"")</f>
        <v/>
      </c>
    </row>
    <row r="374" spans="1:14">
      <c r="A374" s="13">
        <v>9950401</v>
      </c>
      <c r="B374" s="13" t="s">
        <v>576</v>
      </c>
      <c r="C374" s="13" t="s">
        <v>342</v>
      </c>
      <c r="D374" s="13" t="s">
        <v>343</v>
      </c>
      <c r="E374" s="13" t="s">
        <v>342</v>
      </c>
      <c r="F374" s="13">
        <v>9950401</v>
      </c>
      <c r="G374" s="13">
        <v>6</v>
      </c>
      <c r="H374" s="13">
        <v>4</v>
      </c>
      <c r="N374" s="13" t="s">
        <v>84</v>
      </c>
    </row>
    <row r="375" spans="1:14">
      <c r="A375" s="13">
        <v>9950402</v>
      </c>
      <c r="B375" s="13" t="s">
        <v>577</v>
      </c>
      <c r="C375" s="13" t="s">
        <v>345</v>
      </c>
      <c r="D375" s="13" t="s">
        <v>346</v>
      </c>
      <c r="E375" s="13" t="s">
        <v>345</v>
      </c>
      <c r="F375" s="13">
        <v>9950402</v>
      </c>
      <c r="G375" s="13">
        <v>8</v>
      </c>
      <c r="H375" s="13">
        <v>4</v>
      </c>
      <c r="N375" s="13" t="s">
        <v>94</v>
      </c>
    </row>
  </sheetData>
  <autoFilter xmlns:etc="http://www.wps.cn/officeDocument/2017/etCustomData" ref="G1:G375" etc:filterBottomFollowUsedRange="0">
    <extLst/>
  </autoFilter>
  <conditionalFormatting sqref="A373">
    <cfRule type="duplicateValues" dxfId="0" priority="1"/>
  </conditionalFormatting>
  <conditionalFormatting sqref="A1:A372 A374:A1048576"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MergeTwoItemTemplate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G_hTai</cp:lastModifiedBy>
  <dcterms:created xsi:type="dcterms:W3CDTF">2015-06-05T18:19:00Z</dcterms:created>
  <dcterms:modified xsi:type="dcterms:W3CDTF">2024-11-22T04:28:08Z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18046E7BB4064F3CB2C8D87B6E349F94_12</vt:lpwstr>
  </property>
  <property fmtid="{D5CDD505-2E9C-101B-9397-08002B2CF9AE}" pid="3" name="KSOProductBuildVer">
    <vt:lpwstr>2052-12.1.0.18276</vt:lpwstr>
  </property>
</Properties>
</file>